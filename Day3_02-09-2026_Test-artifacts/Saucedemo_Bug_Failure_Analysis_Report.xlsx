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25"/>
  <workbookPr/>
  <xr:revisionPtr revIDLastSave="1" documentId="11_51E0445A7231C6985394CBB746C34704BCD9BFB6" xr6:coauthVersionLast="47" xr6:coauthVersionMax="47" xr10:uidLastSave="{57B5DCB0-DD85-4828-8A7A-0D1A7B5402D5}"/>
  <bookViews>
    <workbookView xWindow="-110" yWindow="-110" windowWidth="19420" windowHeight="11500" xr2:uid="{00000000-000D-0000-FFFF-FFFF00000000}"/>
  </bookViews>
  <sheets>
    <sheet name="Executive Summary" sheetId="1" r:id="rId1"/>
    <sheet name="Failure Analysis" sheetId="2" r:id="rId2"/>
    <sheet name="All Bug Reports" sheetId="3" r:id="rId3"/>
  </sheets>
  <definedNames>
    <definedName name="_xlnm._FilterDatabase" localSheetId="1" hidden="1">'Failure Analysis'!$A$1:$K$26</definedName>
    <definedName name="_xlnm._FilterDatabase" localSheetId="2" hidden="1">'All Bug Reports'!$A$1:$Z$26</definedName>
  </definedNames>
  <calcPr calcId="191028"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 i="1" l="1"/>
  <c r="C15" i="1" s="1"/>
  <c r="B14" i="1"/>
  <c r="C14" i="1" s="1"/>
  <c r="B13" i="1"/>
  <c r="C13" i="1" s="1"/>
  <c r="B12" i="1"/>
  <c r="C12" i="1" s="1"/>
  <c r="B11" i="1"/>
  <c r="C11" i="1" s="1"/>
  <c r="B10" i="1"/>
  <c r="C10" i="1" s="1"/>
  <c r="B9" i="1"/>
  <c r="C9" i="1" s="1"/>
  <c r="B8" i="1"/>
  <c r="C8" i="1" s="1"/>
</calcChain>
</file>

<file path=xl/sharedStrings.xml><?xml version="1.0" encoding="utf-8"?>
<sst xmlns="http://schemas.openxmlformats.org/spreadsheetml/2006/main" count="970" uniqueCount="194">
  <si>
    <t>Saucedemo Bug Failure Analysis Report</t>
  </si>
  <si>
    <t>Executive assessment</t>
  </si>
  <si>
    <t>Total bug records</t>
  </si>
  <si>
    <t>Browser</t>
  </si>
  <si>
    <t>Chrome</t>
  </si>
  <si>
    <t>Primary finding</t>
  </si>
  <si>
    <t>Most records indicate application-level UI or functional failures. Postal-code and locked-user records lack a reliable requirement oracle, while performance records lack measurable evidence.</t>
  </si>
  <si>
    <t>Failure Category</t>
  </si>
  <si>
    <t>Count</t>
  </si>
  <si>
    <t>Percentage</t>
  </si>
  <si>
    <t>Interpretation</t>
  </si>
  <si>
    <t>Application Defect</t>
  </si>
  <si>
    <t>Observed UI, navigation, cart, checkout, or content behavior differs from the stated expectation.</t>
  </si>
  <si>
    <t>Automation Defect</t>
  </si>
  <si>
    <t>No evidence of automation-code, locator, synchronization, or framework failure.</t>
  </si>
  <si>
    <t>Test Data Issue</t>
  </si>
  <si>
    <t>No confirmed invalid, missing, expired, or inconsistent data dependency.</t>
  </si>
  <si>
    <t>Environment/Infrastructure Issue</t>
  </si>
  <si>
    <t>No outage, capacity, host, service availability, or infrastructure evidence.</t>
  </si>
  <si>
    <t>Network/API Issue</t>
  </si>
  <si>
    <t>No API response, status code, timeout, payload, or network trace evidence.</t>
  </si>
  <si>
    <t>Configuration Issue</t>
  </si>
  <si>
    <t>No confirmed application, browser, feature-flag, deployment, or environment configuration mismatch.</t>
  </si>
  <si>
    <t>Requirement/Test Case Issue</t>
  </si>
  <si>
    <t>Expected behavior or input-validity rule is missing or ambiguous.</t>
  </si>
  <si>
    <t>Unknown/Insufficient Evidence</t>
  </si>
  <si>
    <t>The report lacks objective evidence needed to isolate the failure domain.</t>
  </si>
  <si>
    <t>Key risks and next steps</t>
  </si>
  <si>
    <t>1. Critical path: Investigate “Order cannot be completed” first because it blocks purchase completion.</t>
  </si>
  <si>
    <t>2. High-priority functional cluster: Product navigation, filters, cart add/remove, product routing, and checkout input failures require manual reproduction and evidence capture.</t>
  </si>
  <si>
    <t>3. Requirement quality: Add requirement IDs, test case IDs, exact test data, and explicit expected messages or validation rules.</t>
  </si>
  <si>
    <t>4. Evidence quality: Populate build/version, environment, screenshots, console logs, network traces, error messages, and timestamps.</t>
  </si>
  <si>
    <t>5. Performance triage: Record objective load times against an agreed SLA before assigning ownership.</t>
  </si>
  <si>
    <t>Record #</t>
  </si>
  <si>
    <t>User Type</t>
  </si>
  <si>
    <t>Bug ID</t>
  </si>
  <si>
    <t>Bug Title</t>
  </si>
  <si>
    <t>Severity</t>
  </si>
  <si>
    <t>Priority</t>
  </si>
  <si>
    <t>Module</t>
  </si>
  <si>
    <t>Classification Confidence</t>
  </si>
  <si>
    <t>Failure Analysis</t>
  </si>
  <si>
    <t>Recommended Investigation / Action</t>
  </si>
  <si>
    <t>Standard User</t>
  </si>
  <si>
    <t>prod_001</t>
  </si>
  <si>
    <t>Backpack description contains unformatted method text</t>
  </si>
  <si>
    <t>Unformatted method-like text shown</t>
  </si>
  <si>
    <t>Medium</t>
  </si>
  <si>
    <t>Products</t>
  </si>
  <si>
    <t>The steps describe a repeatable user-facing mismatch between the expected and actual behavior in the application UI or business flow. The report contains no indication of a failed automation script, bad test data, environment outage, network/API failure, or configuration change.</t>
  </si>
  <si>
    <t>Reproduce manually in Chrome with a clean session, capture screenshot/video and console/network logs, record build and environment, then route to the owning application module for diagnosis and fix.</t>
  </si>
  <si>
    <t>prod_002</t>
  </si>
  <si>
    <t>Product title contains method name</t>
  </si>
  <si>
    <t>Method name visible in title</t>
  </si>
  <si>
    <t>prod_003</t>
  </si>
  <si>
    <t>All Items link broken</t>
  </si>
  <si>
    <t>Link broken/no action</t>
  </si>
  <si>
    <t>High</t>
  </si>
  <si>
    <t>Navigation</t>
  </si>
  <si>
    <t>checkout_001</t>
  </si>
  <si>
    <t>Random postal code accepted</t>
  </si>
  <si>
    <t>Checkout</t>
  </si>
  <si>
    <t>The report states that a random postal code was accepted, but the allowed format, country, length, character rules, and exact test value are not documented. Without a validation rule or test data, acceptance of the value does not establish an application defect.</t>
  </si>
  <si>
    <t>Document the postal-code validation requirement and exact invalid inputs. Add boundary, alphabetic, special-character, blank, and length tests before raising an application defect.</t>
  </si>
  <si>
    <t>Locked User</t>
  </si>
  <si>
    <t>Login_001</t>
  </si>
  <si>
    <t>Locked user unable to login</t>
  </si>
  <si>
    <t>User unable to login</t>
  </si>
  <si>
    <t>Login</t>
  </si>
  <si>
    <t>The locked account is expected to be denied access in SauceDemo-style role behavior, while the recorded expected result only says the system should behave as per locked-user requirements. Because the requirement and test case IDs are unavailable, the pass/fail oracle is ambiguous and the observation cannot reliably prove an application failure.</t>
  </si>
  <si>
    <t>Link the defect to the locked-user authentication requirement; define the expected error message and access rule, then rerun the test. Close or reclassify if login denial is expected.</t>
  </si>
  <si>
    <t>Problem User</t>
  </si>
  <si>
    <t>Dog image displayed on product cards</t>
  </si>
  <si>
    <t>Dog image displayed</t>
  </si>
  <si>
    <t>prod_004</t>
  </si>
  <si>
    <t>Filters not working</t>
  </si>
  <si>
    <t>Filters do not work</t>
  </si>
  <si>
    <t>prod_005</t>
  </si>
  <si>
    <t>Some products cannot be added to cart</t>
  </si>
  <si>
    <t>Add to cart fails</t>
  </si>
  <si>
    <t>Cart</t>
  </si>
  <si>
    <t>prod_006</t>
  </si>
  <si>
    <t>Wrong item opens from product title</t>
  </si>
  <si>
    <t>Wrong item page opens</t>
  </si>
  <si>
    <t>prod_007</t>
  </si>
  <si>
    <t>Remove button not working</t>
  </si>
  <si>
    <t>No action performed</t>
  </si>
  <si>
    <t>prod_008</t>
  </si>
  <si>
    <t>About page returns 404</t>
  </si>
  <si>
    <t>404 error displayed</t>
  </si>
  <si>
    <t>prod_009</t>
  </si>
  <si>
    <t>All Items link disabled</t>
  </si>
  <si>
    <t>Link disabled/no action</t>
  </si>
  <si>
    <t>Last name cannot be entered</t>
  </si>
  <si>
    <t>Unable to enter last name</t>
  </si>
  <si>
    <t>checkout_002</t>
  </si>
  <si>
    <t>Invalid data accepted</t>
  </si>
  <si>
    <t>checkout_003</t>
  </si>
  <si>
    <t>Order cannot be completed</t>
  </si>
  <si>
    <t>Order completion blocked</t>
  </si>
  <si>
    <t>Critical</t>
  </si>
  <si>
    <t>Performance Glitch</t>
  </si>
  <si>
    <t>Unformatted text shown</t>
  </si>
  <si>
    <t>Method name shown</t>
  </si>
  <si>
    <t>Broken link</t>
  </si>
  <si>
    <t>Accepted invalid data</t>
  </si>
  <si>
    <t>Product page loads slowly</t>
  </si>
  <si>
    <t>Slow load observed</t>
  </si>
  <si>
    <t>Performance</t>
  </si>
  <si>
    <t>A delay is reported, but no response-time SLA, measured duration, timestamp, trace, resource data, comparison baseline, or evidence is supplied. The current information cannot distinguish application performance from browser, host, network, or test-environment latency.</t>
  </si>
  <si>
    <t>Capture at least three timed runs, browser performance traces, network waterfall, host utilization, and the agreed SLA. Reclassify after identifying whether time is spent in UI rendering, API calls, network, or infrastructure.</t>
  </si>
  <si>
    <t>Pages load slower than expected</t>
  </si>
  <si>
    <t>Excessive delay observed</t>
  </si>
  <si>
    <t>Filter has unnecessary delay</t>
  </si>
  <si>
    <t>Delay after filter application</t>
  </si>
  <si>
    <t>Low</t>
  </si>
  <si>
    <t>Back Home is slow</t>
  </si>
  <si>
    <t>Long delay observed</t>
  </si>
  <si>
    <t>Requirement ID</t>
  </si>
  <si>
    <t>Test Case ID</t>
  </si>
  <si>
    <t>Feature</t>
  </si>
  <si>
    <t>Environment</t>
  </si>
  <si>
    <t>Build/Version</t>
  </si>
  <si>
    <t>Defect Type</t>
  </si>
  <si>
    <t>Preconditions</t>
  </si>
  <si>
    <t>Test Data</t>
  </si>
  <si>
    <t>Steps to Reproduce</t>
  </si>
  <si>
    <t>Expected Result</t>
  </si>
  <si>
    <t>Actual Result</t>
  </si>
  <si>
    <t>Error Message</t>
  </si>
  <si>
    <t>Evidence</t>
  </si>
  <si>
    <t>Status</t>
  </si>
  <si>
    <t>Confidence Level</t>
  </si>
  <si>
    <t>Not Available</t>
  </si>
  <si>
    <t>Description</t>
  </si>
  <si>
    <t>User logged in and on required page</t>
  </si>
  <si>
    <t>Go to product page and look for the description of SauceLab backpack</t>
  </si>
  <si>
    <t>Description should be properly formatted</t>
  </si>
  <si>
    <t>New</t>
  </si>
  <si>
    <t>Title</t>
  </si>
  <si>
    <t>Open product page and look for red t shirt</t>
  </si>
  <si>
    <t>Product title should not expose method names</t>
  </si>
  <si>
    <t>All Items</t>
  </si>
  <si>
    <t>Click hamburger icon then All Items</t>
  </si>
  <si>
    <t>All Items page should open</t>
  </si>
  <si>
    <t>Validation</t>
  </si>
  <si>
    <t>Proceed to checkout and enter random postal code</t>
  </si>
  <si>
    <t>Postal code should be validated</t>
  </si>
  <si>
    <t>Authentication</t>
  </si>
  <si>
    <t>Enter username and password</t>
  </si>
  <si>
    <t>System should behave as per locked-user requirements</t>
  </si>
  <si>
    <t>Images</t>
  </si>
  <si>
    <t>Go to product page and look for cards</t>
  </si>
  <si>
    <t>Correct product images should display</t>
  </si>
  <si>
    <t>Filters</t>
  </si>
  <si>
    <t>Apply any filter</t>
  </si>
  <si>
    <t>Products should be filtered</t>
  </si>
  <si>
    <t>Add To Cart</t>
  </si>
  <si>
    <t>Try adding affected products</t>
  </si>
  <si>
    <t>Products should be added to cart</t>
  </si>
  <si>
    <t>Product Details</t>
  </si>
  <si>
    <t>Click any product title</t>
  </si>
  <si>
    <t>Correct product page should open</t>
  </si>
  <si>
    <t>Remove Item</t>
  </si>
  <si>
    <t>Click remove button</t>
  </si>
  <si>
    <t>Item should be removed</t>
  </si>
  <si>
    <t>About</t>
  </si>
  <si>
    <t>Click hamburger then About</t>
  </si>
  <si>
    <t>About page should open</t>
  </si>
  <si>
    <t>Click hamburger then All Items</t>
  </si>
  <si>
    <t>Customer Information</t>
  </si>
  <si>
    <t>Enter last name during checkout</t>
  </si>
  <si>
    <t>Last name should be editable</t>
  </si>
  <si>
    <t>Enter random postal code</t>
  </si>
  <si>
    <t>Order Processing</t>
  </si>
  <si>
    <t>Attempt to complete order</t>
  </si>
  <si>
    <t>Order should complete successfully</t>
  </si>
  <si>
    <t>View backpack description</t>
  </si>
  <si>
    <t>Formatted description expected</t>
  </si>
  <si>
    <t>View red t shirt</t>
  </si>
  <si>
    <t>Clean title expected</t>
  </si>
  <si>
    <t>Click All Items</t>
  </si>
  <si>
    <t>Page should open</t>
  </si>
  <si>
    <t>Validation should occur</t>
  </si>
  <si>
    <t>Page Load</t>
  </si>
  <si>
    <t>Login and open product page</t>
  </si>
  <si>
    <t>Page should load within expected time</t>
  </si>
  <si>
    <t>Open product details and return</t>
  </si>
  <si>
    <t>Pages should load promptly</t>
  </si>
  <si>
    <t>Apply filter</t>
  </si>
  <si>
    <t>Results should appear quickly</t>
  </si>
  <si>
    <t>Back Home</t>
  </si>
  <si>
    <t>Click Back Home after checkout</t>
  </si>
  <si>
    <t>Home page should open promptly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</si>
</sst>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font>
      <sz val="11"/>
      <color theme="1"/>
      <name val="Calibri"/>
      <family val="2"/>
      <scheme val="minor"/>
    </font>
    <font>
      <b/>
      <sz val="11"/>
      <color rgb="FFFFFFFF"/>
      <name val="Calibri"/>
    </font>
    <font>
      <b/>
      <sz val="11"/>
      <name val="Calibri"/>
    </font>
    <font>
      <b/>
      <sz val="18"/>
      <color rgb="FFFFFFFF"/>
      <name val="Calibri"/>
    </font>
  </fonts>
  <fills count="7">
    <fill>
      <patternFill patternType="none"/>
    </fill>
    <fill>
      <patternFill patternType="gray125"/>
    </fill>
    <fill>
      <patternFill patternType="solid">
        <fgColor rgb="FF17365D"/>
      </patternFill>
    </fill>
    <fill>
      <patternFill patternType="solid">
        <fgColor rgb="FFF4CCCC"/>
      </patternFill>
    </fill>
    <fill>
      <patternFill patternType="solid">
        <fgColor rgb="FFFCE4D6"/>
      </patternFill>
    </fill>
    <fill>
      <patternFill patternType="solid">
        <fgColor rgb="FFE7E6E6"/>
      </patternFill>
    </fill>
    <fill>
      <patternFill patternType="solid">
        <fgColor rgb="FF1F4E78"/>
      </patternFill>
    </fill>
  </fills>
  <borders count="1">
    <border>
      <left/>
      <right/>
      <top/>
      <bottom/>
      <diagonal/>
    </border>
  </borders>
  <cellStyleXfs count="1">
    <xf numFmtId="0" fontId="0" fillId="0" borderId="0"/>
  </cellStyleXfs>
  <cellXfs count="16">
    <xf numFmtId="0" fontId="0" fillId="0" borderId="0" xfId="0"/>
    <xf numFmtId="0" fontId="0" fillId="0" borderId="0" xfId="0" applyAlignment="1">
      <alignment wrapText="1"/>
    </xf>
    <xf numFmtId="0" fontId="0" fillId="3" borderId="0" xfId="0" applyFill="1" applyAlignment="1">
      <alignment vertical="top" wrapText="1"/>
    </xf>
    <xf numFmtId="0" fontId="0" fillId="0" borderId="0" xfId="0" applyAlignment="1">
      <alignment vertical="top" wrapText="1"/>
    </xf>
    <xf numFmtId="164" fontId="0" fillId="0" borderId="0" xfId="0" applyNumberFormat="1" applyAlignment="1">
      <alignment vertical="top" wrapText="1"/>
    </xf>
    <xf numFmtId="0" fontId="0" fillId="4" borderId="0" xfId="0" applyFill="1" applyAlignment="1">
      <alignment vertical="top" wrapText="1"/>
    </xf>
    <xf numFmtId="0" fontId="0" fillId="5" borderId="0" xfId="0" applyFill="1" applyAlignment="1">
      <alignment vertical="top" wrapText="1"/>
    </xf>
    <xf numFmtId="0" fontId="2" fillId="3" borderId="0" xfId="0" applyFont="1" applyFill="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xf numFmtId="0" fontId="0" fillId="0" borderId="0" xfId="0" applyAlignment="1">
      <alignment vertical="top" wrapText="1"/>
    </xf>
    <xf numFmtId="0" fontId="3" fillId="2" borderId="0" xfId="0" applyFont="1" applyFill="1" applyAlignment="1">
      <alignment horizontal="center" vertical="center"/>
    </xf>
    <xf numFmtId="0" fontId="0" fillId="0" borderId="0" xfId="0" applyAlignment="1"/>
    <xf numFmtId="0" fontId="1" fillId="6" borderId="0" xfId="0" applyFont="1" applyFill="1" applyAlignment="1"/>
    <xf numFmtId="0" fontId="1" fillId="2" borderId="0" xfId="0" applyFont="1" applyFill="1" applyAlignment="1">
      <alignment horizontal="center"/>
    </xf>
    <xf numFmtId="0" fontId="1" fillId="2"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US"/>
              <a:t>Bug Records by Failure Category</a:t>
            </a:r>
          </a:p>
        </c:rich>
      </c:tx>
      <c:overlay val="1"/>
    </c:title>
    <c:autoTitleDeleted val="0"/>
    <c:plotArea>
      <c:layout/>
      <c:barChart>
        <c:barDir val="bar"/>
        <c:grouping val="clustered"/>
        <c:varyColors val="1"/>
        <c:ser>
          <c:idx val="0"/>
          <c:order val="0"/>
          <c:tx>
            <c:strRef>
              <c:f>'Executive Summary'!B7</c:f>
              <c:strCache>
                <c:ptCount val="1"/>
                <c:pt idx="0">
                  <c:v>Count</c:v>
                </c:pt>
              </c:strCache>
            </c:strRef>
          </c:tx>
          <c:spPr>
            <a:ln>
              <a:prstDash val="solid"/>
            </a:ln>
          </c:spPr>
          <c:invertIfNegative val="1"/>
          <c:cat>
            <c:strRef>
              <c:f>'Executive Summary'!$A$8:$A$15</c:f>
              <c:strCache>
                <c:ptCount val="8"/>
                <c:pt idx="0">
                  <c:v>Application Defect</c:v>
                </c:pt>
                <c:pt idx="1">
                  <c:v>Automation Defect</c:v>
                </c:pt>
                <c:pt idx="2">
                  <c:v>Test Data Issue</c:v>
                </c:pt>
                <c:pt idx="3">
                  <c:v>Environment/Infrastructure Issue</c:v>
                </c:pt>
                <c:pt idx="4">
                  <c:v>Network/API Issue</c:v>
                </c:pt>
                <c:pt idx="5">
                  <c:v>Configuration Issue</c:v>
                </c:pt>
                <c:pt idx="6">
                  <c:v>Requirement/Test Case Issue</c:v>
                </c:pt>
                <c:pt idx="7">
                  <c:v>Unknown/Insufficient Evidence</c:v>
                </c:pt>
              </c:strCache>
            </c:strRef>
          </c:cat>
          <c:val>
            <c:numRef>
              <c:f>'Executive Summary'!$B$8:$B$15</c:f>
              <c:numCache>
                <c:formatCode>General</c:formatCode>
                <c:ptCount val="8"/>
                <c:pt idx="0">
                  <c:v>17</c:v>
                </c:pt>
                <c:pt idx="1">
                  <c:v>0</c:v>
                </c:pt>
                <c:pt idx="2">
                  <c:v>0</c:v>
                </c:pt>
                <c:pt idx="3">
                  <c:v>0</c:v>
                </c:pt>
                <c:pt idx="4">
                  <c:v>0</c:v>
                </c:pt>
                <c:pt idx="5">
                  <c:v>0</c:v>
                </c:pt>
                <c:pt idx="6">
                  <c:v>4</c:v>
                </c:pt>
                <c:pt idx="7">
                  <c:v>4</c:v>
                </c:pt>
              </c:numCache>
            </c:numRef>
          </c:val>
          <c:extLst>
            <c:ext xmlns:c16="http://schemas.microsoft.com/office/drawing/2014/chart" uri="{C3380CC4-5D6E-409C-BE32-E72D297353CC}">
              <c16:uniqueId val="{00000000-5A83-4C65-8624-FD4287BE584E}"/>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title>
          <c:tx>
            <c:rich>
              <a:bodyPr/>
              <a:lstStyle/>
              <a:p>
                <a:pPr>
                  <a:defRPr/>
                </a:pPr>
                <a:r>
                  <a:rPr lang="en-US"/>
                  <a:t>Count</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title>
          <c:tx>
            <c:rich>
              <a:bodyPr/>
              <a:lstStyle/>
              <a:p>
                <a:pPr>
                  <a:defRPr/>
                </a:pPr>
                <a:r>
                  <a:rPr lang="en-US"/>
                  <a:t>Category</a:t>
                </a:r>
              </a:p>
            </c:rich>
          </c:tx>
          <c:overlay val="1"/>
        </c:title>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5</xdr:col>
      <xdr:colOff>0</xdr:colOff>
      <xdr:row>6</xdr:row>
      <xdr:rowOff>0</xdr:rowOff>
    </xdr:from>
    <xdr:ext cx="4680000" cy="252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3"/>
  <sheetViews>
    <sheetView showGridLines="0" tabSelected="1" workbookViewId="0">
      <pane ySplit="6" topLeftCell="A32" activePane="bottomLeft" state="frozen"/>
      <selection pane="bottomLeft" activeCell="A3" sqref="A3:F3"/>
    </sheetView>
  </sheetViews>
  <sheetFormatPr defaultRowHeight="15"/>
  <cols>
    <col min="1" max="1" width="34" customWidth="1"/>
    <col min="2" max="3" width="14" customWidth="1"/>
    <col min="4" max="4" width="70" customWidth="1"/>
    <col min="5" max="6" width="18" customWidth="1"/>
  </cols>
  <sheetData>
    <row r="1" spans="1:6" ht="32.1" customHeight="1">
      <c r="A1" s="11" t="s">
        <v>0</v>
      </c>
      <c r="B1" s="12"/>
      <c r="C1" s="12"/>
      <c r="D1" s="12"/>
      <c r="E1" s="12"/>
      <c r="F1" s="12"/>
    </row>
    <row r="3" spans="1:6">
      <c r="A3" s="13" t="s">
        <v>1</v>
      </c>
      <c r="B3" s="12"/>
      <c r="C3" s="12"/>
      <c r="D3" s="12"/>
      <c r="E3" s="12"/>
      <c r="F3" s="12"/>
    </row>
    <row r="4" spans="1:6">
      <c r="A4" t="s">
        <v>2</v>
      </c>
      <c r="B4">
        <v>25</v>
      </c>
      <c r="D4" t="s">
        <v>3</v>
      </c>
      <c r="E4" t="s">
        <v>4</v>
      </c>
    </row>
    <row r="5" spans="1:6">
      <c r="A5" t="s">
        <v>5</v>
      </c>
      <c r="B5" s="12" t="s">
        <v>6</v>
      </c>
      <c r="C5" s="12"/>
      <c r="D5" s="12"/>
      <c r="E5" s="12"/>
      <c r="F5" s="12"/>
    </row>
    <row r="7" spans="1:6">
      <c r="A7" s="14" t="s">
        <v>7</v>
      </c>
      <c r="B7" s="14" t="s">
        <v>8</v>
      </c>
      <c r="C7" s="14" t="s">
        <v>9</v>
      </c>
      <c r="D7" s="14" t="s">
        <v>10</v>
      </c>
    </row>
    <row r="8" spans="1:6">
      <c r="A8" s="2" t="s">
        <v>11</v>
      </c>
      <c r="B8" s="3">
        <f>COUNTIF('All Bug Reports'!$W:$W,A8)</f>
        <v>17</v>
      </c>
      <c r="C8" s="4">
        <f>B8/$B$4</f>
        <v>0.68</v>
      </c>
      <c r="D8" s="3" t="s">
        <v>12</v>
      </c>
    </row>
    <row r="9" spans="1:6">
      <c r="A9" s="3" t="s">
        <v>13</v>
      </c>
      <c r="B9" s="3">
        <f>COUNTIF('All Bug Reports'!$W:$W,A9)</f>
        <v>0</v>
      </c>
      <c r="C9" s="4">
        <f>B9/$B$4</f>
        <v>0</v>
      </c>
      <c r="D9" s="3" t="s">
        <v>14</v>
      </c>
    </row>
    <row r="10" spans="1:6">
      <c r="A10" s="3" t="s">
        <v>15</v>
      </c>
      <c r="B10" s="3">
        <f>COUNTIF('All Bug Reports'!$W:$W,A10)</f>
        <v>0</v>
      </c>
      <c r="C10" s="4">
        <f>B10/$B$4</f>
        <v>0</v>
      </c>
      <c r="D10" s="3" t="s">
        <v>16</v>
      </c>
    </row>
    <row r="11" spans="1:6">
      <c r="A11" s="3" t="s">
        <v>17</v>
      </c>
      <c r="B11" s="3">
        <f>COUNTIF('All Bug Reports'!$W:$W,A11)</f>
        <v>0</v>
      </c>
      <c r="C11" s="4">
        <f>B11/$B$4</f>
        <v>0</v>
      </c>
      <c r="D11" s="3" t="s">
        <v>18</v>
      </c>
    </row>
    <row r="12" spans="1:6">
      <c r="A12" s="3" t="s">
        <v>19</v>
      </c>
      <c r="B12" s="3">
        <f>COUNTIF('All Bug Reports'!$W:$W,A12)</f>
        <v>0</v>
      </c>
      <c r="C12" s="4">
        <f>B12/$B$4</f>
        <v>0</v>
      </c>
      <c r="D12" s="3" t="s">
        <v>20</v>
      </c>
    </row>
    <row r="13" spans="1:6">
      <c r="A13" s="3" t="s">
        <v>21</v>
      </c>
      <c r="B13" s="3">
        <f>COUNTIF('All Bug Reports'!$W:$W,A13)</f>
        <v>0</v>
      </c>
      <c r="C13" s="4">
        <f>B13/$B$4</f>
        <v>0</v>
      </c>
      <c r="D13" s="3" t="s">
        <v>22</v>
      </c>
    </row>
    <row r="14" spans="1:6">
      <c r="A14" s="5" t="s">
        <v>23</v>
      </c>
      <c r="B14" s="3">
        <f>COUNTIF('All Bug Reports'!$W:$W,A14)</f>
        <v>4</v>
      </c>
      <c r="C14" s="4">
        <f>B14/$B$4</f>
        <v>0.16</v>
      </c>
      <c r="D14" s="3" t="s">
        <v>24</v>
      </c>
    </row>
    <row r="15" spans="1:6">
      <c r="A15" s="6" t="s">
        <v>25</v>
      </c>
      <c r="B15" s="3">
        <f>COUNTIF('All Bug Reports'!$W:$W,A15)</f>
        <v>4</v>
      </c>
      <c r="C15" s="4">
        <f>B15/$B$4</f>
        <v>0.16</v>
      </c>
      <c r="D15" s="3" t="s">
        <v>26</v>
      </c>
    </row>
    <row r="18" spans="1:6">
      <c r="A18" s="13" t="s">
        <v>27</v>
      </c>
      <c r="B18" s="12"/>
      <c r="C18" s="12"/>
      <c r="D18" s="12"/>
      <c r="E18" s="12"/>
      <c r="F18" s="12"/>
    </row>
    <row r="19" spans="1:6">
      <c r="A19" s="10" t="s">
        <v>28</v>
      </c>
      <c r="B19" s="12"/>
      <c r="C19" s="12"/>
      <c r="D19" s="12"/>
      <c r="E19" s="12"/>
      <c r="F19" s="12"/>
    </row>
    <row r="20" spans="1:6">
      <c r="A20" s="10" t="s">
        <v>29</v>
      </c>
      <c r="B20" s="12"/>
      <c r="C20" s="12"/>
      <c r="D20" s="12"/>
      <c r="E20" s="12"/>
      <c r="F20" s="12"/>
    </row>
    <row r="21" spans="1:6">
      <c r="A21" s="10" t="s">
        <v>30</v>
      </c>
      <c r="B21" s="12"/>
      <c r="C21" s="12"/>
      <c r="D21" s="12"/>
      <c r="E21" s="12"/>
      <c r="F21" s="12"/>
    </row>
    <row r="22" spans="1:6">
      <c r="A22" s="10" t="s">
        <v>31</v>
      </c>
      <c r="B22" s="12"/>
      <c r="C22" s="12"/>
      <c r="D22" s="12"/>
      <c r="E22" s="12"/>
      <c r="F22" s="12"/>
    </row>
    <row r="23" spans="1:6">
      <c r="A23" s="10" t="s">
        <v>32</v>
      </c>
      <c r="B23" s="12"/>
      <c r="C23" s="12"/>
      <c r="D23" s="12"/>
      <c r="E23" s="12"/>
      <c r="F23" s="12"/>
    </row>
  </sheetData>
  <mergeCells count="9">
    <mergeCell ref="A19:F19"/>
    <mergeCell ref="A1:F1"/>
    <mergeCell ref="A23:F23"/>
    <mergeCell ref="B5:F5"/>
    <mergeCell ref="A22:F22"/>
    <mergeCell ref="A18:F18"/>
    <mergeCell ref="A3:F3"/>
    <mergeCell ref="A21:F21"/>
    <mergeCell ref="A20:F20"/>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6"/>
  <sheetViews>
    <sheetView showGridLines="0" workbookViewId="0">
      <pane ySplit="1" topLeftCell="A2" activePane="bottomLeft" state="frozen"/>
      <selection pane="bottomLeft"/>
    </sheetView>
  </sheetViews>
  <sheetFormatPr defaultRowHeight="15"/>
  <cols>
    <col min="1" max="1" width="10" customWidth="1"/>
    <col min="2" max="2" width="20" customWidth="1"/>
    <col min="3" max="3" width="14" customWidth="1"/>
    <col min="4" max="4" width="38" customWidth="1"/>
    <col min="5" max="6" width="12" customWidth="1"/>
    <col min="7" max="7" width="18" customWidth="1"/>
    <col min="8" max="8" width="30" customWidth="1"/>
    <col min="9" max="9" width="22" customWidth="1"/>
    <col min="10" max="11" width="65" customWidth="1"/>
  </cols>
  <sheetData>
    <row r="1" spans="1:11">
      <c r="A1" s="15" t="s">
        <v>33</v>
      </c>
      <c r="B1" s="15" t="s">
        <v>34</v>
      </c>
      <c r="C1" s="15" t="s">
        <v>35</v>
      </c>
      <c r="D1" s="15" t="s">
        <v>36</v>
      </c>
      <c r="E1" s="15" t="s">
        <v>37</v>
      </c>
      <c r="F1" s="15" t="s">
        <v>38</v>
      </c>
      <c r="G1" s="15" t="s">
        <v>39</v>
      </c>
      <c r="H1" s="15" t="s">
        <v>7</v>
      </c>
      <c r="I1" s="15" t="s">
        <v>40</v>
      </c>
      <c r="J1" s="15" t="s">
        <v>41</v>
      </c>
      <c r="K1" s="15" t="s">
        <v>42</v>
      </c>
    </row>
    <row r="2" spans="1:11">
      <c r="A2" s="3">
        <v>1</v>
      </c>
      <c r="B2" s="3" t="s">
        <v>43</v>
      </c>
      <c r="C2" s="3" t="s">
        <v>44</v>
      </c>
      <c r="D2" s="3" t="s">
        <v>45</v>
      </c>
      <c r="E2" s="3" t="s">
        <v>46</v>
      </c>
      <c r="F2" s="3" t="s">
        <v>47</v>
      </c>
      <c r="G2" s="3" t="s">
        <v>48</v>
      </c>
      <c r="H2" s="3" t="s">
        <v>11</v>
      </c>
      <c r="I2" s="3" t="s">
        <v>47</v>
      </c>
      <c r="J2" s="3" t="s">
        <v>49</v>
      </c>
      <c r="K2" s="3" t="s">
        <v>50</v>
      </c>
    </row>
    <row r="3" spans="1:11">
      <c r="A3" s="3">
        <v>2</v>
      </c>
      <c r="B3" s="3" t="s">
        <v>43</v>
      </c>
      <c r="C3" s="3" t="s">
        <v>51</v>
      </c>
      <c r="D3" s="3" t="s">
        <v>52</v>
      </c>
      <c r="E3" s="3" t="s">
        <v>53</v>
      </c>
      <c r="F3" s="3" t="s">
        <v>47</v>
      </c>
      <c r="G3" s="3" t="s">
        <v>48</v>
      </c>
      <c r="H3" s="3" t="s">
        <v>11</v>
      </c>
      <c r="I3" s="3" t="s">
        <v>47</v>
      </c>
      <c r="J3" s="3" t="s">
        <v>49</v>
      </c>
      <c r="K3" s="3" t="s">
        <v>50</v>
      </c>
    </row>
    <row r="4" spans="1:11">
      <c r="A4" s="3">
        <v>3</v>
      </c>
      <c r="B4" s="3" t="s">
        <v>43</v>
      </c>
      <c r="C4" s="3" t="s">
        <v>54</v>
      </c>
      <c r="D4" s="3" t="s">
        <v>55</v>
      </c>
      <c r="E4" s="3" t="s">
        <v>56</v>
      </c>
      <c r="F4" s="3" t="s">
        <v>57</v>
      </c>
      <c r="G4" s="3" t="s">
        <v>58</v>
      </c>
      <c r="H4" s="3" t="s">
        <v>11</v>
      </c>
      <c r="I4" s="3" t="s">
        <v>47</v>
      </c>
      <c r="J4" s="3" t="s">
        <v>49</v>
      </c>
      <c r="K4" s="3" t="s">
        <v>50</v>
      </c>
    </row>
    <row r="5" spans="1:11">
      <c r="A5" s="3">
        <v>4</v>
      </c>
      <c r="B5" s="3" t="s">
        <v>43</v>
      </c>
      <c r="C5" s="3" t="s">
        <v>59</v>
      </c>
      <c r="D5" s="3" t="s">
        <v>60</v>
      </c>
      <c r="E5" s="3" t="s">
        <v>60</v>
      </c>
      <c r="F5" s="3" t="s">
        <v>47</v>
      </c>
      <c r="G5" s="3" t="s">
        <v>61</v>
      </c>
      <c r="H5" s="3" t="s">
        <v>23</v>
      </c>
      <c r="I5" s="3" t="s">
        <v>57</v>
      </c>
      <c r="J5" s="3" t="s">
        <v>62</v>
      </c>
      <c r="K5" s="3" t="s">
        <v>63</v>
      </c>
    </row>
    <row r="6" spans="1:11">
      <c r="A6" s="3">
        <v>5</v>
      </c>
      <c r="B6" s="3" t="s">
        <v>64</v>
      </c>
      <c r="C6" s="3" t="s">
        <v>65</v>
      </c>
      <c r="D6" s="3" t="s">
        <v>66</v>
      </c>
      <c r="E6" s="3" t="s">
        <v>67</v>
      </c>
      <c r="F6" s="3" t="s">
        <v>57</v>
      </c>
      <c r="G6" s="3" t="s">
        <v>68</v>
      </c>
      <c r="H6" s="3" t="s">
        <v>23</v>
      </c>
      <c r="I6" s="3" t="s">
        <v>57</v>
      </c>
      <c r="J6" s="3" t="s">
        <v>69</v>
      </c>
      <c r="K6" s="3" t="s">
        <v>70</v>
      </c>
    </row>
    <row r="7" spans="1:11">
      <c r="A7" s="3">
        <v>6</v>
      </c>
      <c r="B7" s="3" t="s">
        <v>71</v>
      </c>
      <c r="C7" s="3" t="s">
        <v>44</v>
      </c>
      <c r="D7" s="3" t="s">
        <v>45</v>
      </c>
      <c r="E7" s="3" t="s">
        <v>46</v>
      </c>
      <c r="F7" s="3" t="s">
        <v>47</v>
      </c>
      <c r="G7" s="3" t="s">
        <v>48</v>
      </c>
      <c r="H7" s="3" t="s">
        <v>11</v>
      </c>
      <c r="I7" s="3" t="s">
        <v>47</v>
      </c>
      <c r="J7" s="3" t="s">
        <v>49</v>
      </c>
      <c r="K7" s="3" t="s">
        <v>50</v>
      </c>
    </row>
    <row r="8" spans="1:11">
      <c r="A8" s="3">
        <v>7</v>
      </c>
      <c r="B8" s="3" t="s">
        <v>71</v>
      </c>
      <c r="C8" s="3" t="s">
        <v>51</v>
      </c>
      <c r="D8" s="3" t="s">
        <v>52</v>
      </c>
      <c r="E8" s="3" t="s">
        <v>53</v>
      </c>
      <c r="F8" s="3" t="s">
        <v>47</v>
      </c>
      <c r="G8" s="3" t="s">
        <v>48</v>
      </c>
      <c r="H8" s="3" t="s">
        <v>11</v>
      </c>
      <c r="I8" s="3" t="s">
        <v>47</v>
      </c>
      <c r="J8" s="3" t="s">
        <v>49</v>
      </c>
      <c r="K8" s="3" t="s">
        <v>50</v>
      </c>
    </row>
    <row r="9" spans="1:11">
      <c r="A9" s="3">
        <v>8</v>
      </c>
      <c r="B9" s="3" t="s">
        <v>71</v>
      </c>
      <c r="C9" s="3" t="s">
        <v>54</v>
      </c>
      <c r="D9" s="3" t="s">
        <v>72</v>
      </c>
      <c r="E9" s="3" t="s">
        <v>73</v>
      </c>
      <c r="F9" s="3" t="s">
        <v>57</v>
      </c>
      <c r="G9" s="3" t="s">
        <v>48</v>
      </c>
      <c r="H9" s="3" t="s">
        <v>11</v>
      </c>
      <c r="I9" s="3" t="s">
        <v>47</v>
      </c>
      <c r="J9" s="3" t="s">
        <v>49</v>
      </c>
      <c r="K9" s="3" t="s">
        <v>50</v>
      </c>
    </row>
    <row r="10" spans="1:11">
      <c r="A10" s="3">
        <v>9</v>
      </c>
      <c r="B10" s="3" t="s">
        <v>71</v>
      </c>
      <c r="C10" s="3" t="s">
        <v>74</v>
      </c>
      <c r="D10" s="3" t="s">
        <v>75</v>
      </c>
      <c r="E10" s="3" t="s">
        <v>76</v>
      </c>
      <c r="F10" s="3" t="s">
        <v>57</v>
      </c>
      <c r="G10" s="3" t="s">
        <v>48</v>
      </c>
      <c r="H10" s="3" t="s">
        <v>11</v>
      </c>
      <c r="I10" s="3" t="s">
        <v>47</v>
      </c>
      <c r="J10" s="3" t="s">
        <v>49</v>
      </c>
      <c r="K10" s="3" t="s">
        <v>50</v>
      </c>
    </row>
    <row r="11" spans="1:11">
      <c r="A11" s="3">
        <v>10</v>
      </c>
      <c r="B11" s="3" t="s">
        <v>71</v>
      </c>
      <c r="C11" s="3" t="s">
        <v>77</v>
      </c>
      <c r="D11" s="3" t="s">
        <v>78</v>
      </c>
      <c r="E11" s="3" t="s">
        <v>79</v>
      </c>
      <c r="F11" s="3" t="s">
        <v>57</v>
      </c>
      <c r="G11" s="3" t="s">
        <v>80</v>
      </c>
      <c r="H11" s="3" t="s">
        <v>11</v>
      </c>
      <c r="I11" s="3" t="s">
        <v>47</v>
      </c>
      <c r="J11" s="3" t="s">
        <v>49</v>
      </c>
      <c r="K11" s="3" t="s">
        <v>50</v>
      </c>
    </row>
    <row r="12" spans="1:11">
      <c r="A12" s="3">
        <v>11</v>
      </c>
      <c r="B12" s="3" t="s">
        <v>71</v>
      </c>
      <c r="C12" s="3" t="s">
        <v>81</v>
      </c>
      <c r="D12" s="3" t="s">
        <v>82</v>
      </c>
      <c r="E12" s="3" t="s">
        <v>83</v>
      </c>
      <c r="F12" s="3" t="s">
        <v>57</v>
      </c>
      <c r="G12" s="3" t="s">
        <v>48</v>
      </c>
      <c r="H12" s="3" t="s">
        <v>11</v>
      </c>
      <c r="I12" s="3" t="s">
        <v>47</v>
      </c>
      <c r="J12" s="3" t="s">
        <v>49</v>
      </c>
      <c r="K12" s="3" t="s">
        <v>50</v>
      </c>
    </row>
    <row r="13" spans="1:11">
      <c r="A13" s="3">
        <v>12</v>
      </c>
      <c r="B13" s="3" t="s">
        <v>71</v>
      </c>
      <c r="C13" s="3" t="s">
        <v>84</v>
      </c>
      <c r="D13" s="3" t="s">
        <v>85</v>
      </c>
      <c r="E13" s="3" t="s">
        <v>86</v>
      </c>
      <c r="F13" s="3" t="s">
        <v>57</v>
      </c>
      <c r="G13" s="3" t="s">
        <v>80</v>
      </c>
      <c r="H13" s="3" t="s">
        <v>11</v>
      </c>
      <c r="I13" s="3" t="s">
        <v>47</v>
      </c>
      <c r="J13" s="3" t="s">
        <v>49</v>
      </c>
      <c r="K13" s="3" t="s">
        <v>50</v>
      </c>
    </row>
    <row r="14" spans="1:11">
      <c r="A14" s="3">
        <v>13</v>
      </c>
      <c r="B14" s="3" t="s">
        <v>71</v>
      </c>
      <c r="C14" s="3" t="s">
        <v>87</v>
      </c>
      <c r="D14" s="3" t="s">
        <v>88</v>
      </c>
      <c r="E14" s="3" t="s">
        <v>89</v>
      </c>
      <c r="F14" s="3" t="s">
        <v>47</v>
      </c>
      <c r="G14" s="3" t="s">
        <v>58</v>
      </c>
      <c r="H14" s="3" t="s">
        <v>11</v>
      </c>
      <c r="I14" s="3" t="s">
        <v>47</v>
      </c>
      <c r="J14" s="3" t="s">
        <v>49</v>
      </c>
      <c r="K14" s="3" t="s">
        <v>50</v>
      </c>
    </row>
    <row r="15" spans="1:11">
      <c r="A15" s="3">
        <v>14</v>
      </c>
      <c r="B15" s="3" t="s">
        <v>71</v>
      </c>
      <c r="C15" s="3" t="s">
        <v>90</v>
      </c>
      <c r="D15" s="3" t="s">
        <v>91</v>
      </c>
      <c r="E15" s="3" t="s">
        <v>92</v>
      </c>
      <c r="F15" s="3" t="s">
        <v>57</v>
      </c>
      <c r="G15" s="3" t="s">
        <v>58</v>
      </c>
      <c r="H15" s="3" t="s">
        <v>11</v>
      </c>
      <c r="I15" s="3" t="s">
        <v>47</v>
      </c>
      <c r="J15" s="3" t="s">
        <v>49</v>
      </c>
      <c r="K15" s="3" t="s">
        <v>50</v>
      </c>
    </row>
    <row r="16" spans="1:11">
      <c r="A16" s="3">
        <v>15</v>
      </c>
      <c r="B16" s="3" t="s">
        <v>71</v>
      </c>
      <c r="C16" s="3" t="s">
        <v>59</v>
      </c>
      <c r="D16" s="3" t="s">
        <v>93</v>
      </c>
      <c r="E16" s="3" t="s">
        <v>94</v>
      </c>
      <c r="F16" s="3" t="s">
        <v>57</v>
      </c>
      <c r="G16" s="3" t="s">
        <v>61</v>
      </c>
      <c r="H16" s="3" t="s">
        <v>11</v>
      </c>
      <c r="I16" s="3" t="s">
        <v>47</v>
      </c>
      <c r="J16" s="3" t="s">
        <v>49</v>
      </c>
      <c r="K16" s="3" t="s">
        <v>50</v>
      </c>
    </row>
    <row r="17" spans="1:11">
      <c r="A17" s="3">
        <v>16</v>
      </c>
      <c r="B17" s="3" t="s">
        <v>71</v>
      </c>
      <c r="C17" s="3" t="s">
        <v>95</v>
      </c>
      <c r="D17" s="3" t="s">
        <v>60</v>
      </c>
      <c r="E17" s="3" t="s">
        <v>96</v>
      </c>
      <c r="F17" s="3" t="s">
        <v>47</v>
      </c>
      <c r="G17" s="3" t="s">
        <v>61</v>
      </c>
      <c r="H17" s="3" t="s">
        <v>23</v>
      </c>
      <c r="I17" s="3" t="s">
        <v>57</v>
      </c>
      <c r="J17" s="3" t="s">
        <v>62</v>
      </c>
      <c r="K17" s="3" t="s">
        <v>63</v>
      </c>
    </row>
    <row r="18" spans="1:11">
      <c r="A18" s="3">
        <v>17</v>
      </c>
      <c r="B18" s="3" t="s">
        <v>71</v>
      </c>
      <c r="C18" s="3" t="s">
        <v>97</v>
      </c>
      <c r="D18" s="3" t="s">
        <v>98</v>
      </c>
      <c r="E18" s="3" t="s">
        <v>99</v>
      </c>
      <c r="F18" s="3" t="s">
        <v>100</v>
      </c>
      <c r="G18" s="3" t="s">
        <v>61</v>
      </c>
      <c r="H18" s="3" t="s">
        <v>11</v>
      </c>
      <c r="I18" s="3" t="s">
        <v>47</v>
      </c>
      <c r="J18" s="3" t="s">
        <v>49</v>
      </c>
      <c r="K18" s="3" t="s">
        <v>50</v>
      </c>
    </row>
    <row r="19" spans="1:11">
      <c r="A19" s="3">
        <v>18</v>
      </c>
      <c r="B19" s="3" t="s">
        <v>101</v>
      </c>
      <c r="C19" s="3" t="s">
        <v>44</v>
      </c>
      <c r="D19" s="3" t="s">
        <v>45</v>
      </c>
      <c r="E19" s="3" t="s">
        <v>102</v>
      </c>
      <c r="F19" s="3" t="s">
        <v>47</v>
      </c>
      <c r="G19" s="3" t="s">
        <v>48</v>
      </c>
      <c r="H19" s="3" t="s">
        <v>11</v>
      </c>
      <c r="I19" s="3" t="s">
        <v>47</v>
      </c>
      <c r="J19" s="3" t="s">
        <v>49</v>
      </c>
      <c r="K19" s="3" t="s">
        <v>50</v>
      </c>
    </row>
    <row r="20" spans="1:11">
      <c r="A20" s="3">
        <v>19</v>
      </c>
      <c r="B20" s="3" t="s">
        <v>101</v>
      </c>
      <c r="C20" s="3" t="s">
        <v>51</v>
      </c>
      <c r="D20" s="3" t="s">
        <v>52</v>
      </c>
      <c r="E20" s="3" t="s">
        <v>103</v>
      </c>
      <c r="F20" s="3" t="s">
        <v>47</v>
      </c>
      <c r="G20" s="3" t="s">
        <v>48</v>
      </c>
      <c r="H20" s="3" t="s">
        <v>11</v>
      </c>
      <c r="I20" s="3" t="s">
        <v>47</v>
      </c>
      <c r="J20" s="3" t="s">
        <v>49</v>
      </c>
      <c r="K20" s="3" t="s">
        <v>50</v>
      </c>
    </row>
    <row r="21" spans="1:11">
      <c r="A21" s="3">
        <v>20</v>
      </c>
      <c r="B21" s="3" t="s">
        <v>101</v>
      </c>
      <c r="C21" s="3" t="s">
        <v>54</v>
      </c>
      <c r="D21" s="3" t="s">
        <v>55</v>
      </c>
      <c r="E21" s="3" t="s">
        <v>104</v>
      </c>
      <c r="F21" s="3" t="s">
        <v>57</v>
      </c>
      <c r="G21" s="3" t="s">
        <v>58</v>
      </c>
      <c r="H21" s="3" t="s">
        <v>11</v>
      </c>
      <c r="I21" s="3" t="s">
        <v>47</v>
      </c>
      <c r="J21" s="3" t="s">
        <v>49</v>
      </c>
      <c r="K21" s="3" t="s">
        <v>50</v>
      </c>
    </row>
    <row r="22" spans="1:11">
      <c r="A22" s="3">
        <v>21</v>
      </c>
      <c r="B22" s="3" t="s">
        <v>101</v>
      </c>
      <c r="C22" s="3" t="s">
        <v>59</v>
      </c>
      <c r="D22" s="3" t="s">
        <v>60</v>
      </c>
      <c r="E22" s="3" t="s">
        <v>105</v>
      </c>
      <c r="F22" s="3" t="s">
        <v>47</v>
      </c>
      <c r="G22" s="3" t="s">
        <v>61</v>
      </c>
      <c r="H22" s="3" t="s">
        <v>23</v>
      </c>
      <c r="I22" s="3" t="s">
        <v>57</v>
      </c>
      <c r="J22" s="3" t="s">
        <v>62</v>
      </c>
      <c r="K22" s="3" t="s">
        <v>63</v>
      </c>
    </row>
    <row r="23" spans="1:11">
      <c r="A23" s="3">
        <v>22</v>
      </c>
      <c r="B23" s="3" t="s">
        <v>101</v>
      </c>
      <c r="C23" s="3" t="s">
        <v>74</v>
      </c>
      <c r="D23" s="3" t="s">
        <v>106</v>
      </c>
      <c r="E23" s="3" t="s">
        <v>107</v>
      </c>
      <c r="F23" s="3" t="s">
        <v>47</v>
      </c>
      <c r="G23" s="3" t="s">
        <v>108</v>
      </c>
      <c r="H23" s="3" t="s">
        <v>25</v>
      </c>
      <c r="I23" s="3" t="s">
        <v>57</v>
      </c>
      <c r="J23" s="3" t="s">
        <v>109</v>
      </c>
      <c r="K23" s="3" t="s">
        <v>110</v>
      </c>
    </row>
    <row r="24" spans="1:11">
      <c r="A24" s="3">
        <v>23</v>
      </c>
      <c r="B24" s="3" t="s">
        <v>101</v>
      </c>
      <c r="C24" s="3" t="s">
        <v>77</v>
      </c>
      <c r="D24" s="3" t="s">
        <v>111</v>
      </c>
      <c r="E24" s="3" t="s">
        <v>112</v>
      </c>
      <c r="F24" s="3" t="s">
        <v>47</v>
      </c>
      <c r="G24" s="3" t="s">
        <v>108</v>
      </c>
      <c r="H24" s="3" t="s">
        <v>25</v>
      </c>
      <c r="I24" s="3" t="s">
        <v>57</v>
      </c>
      <c r="J24" s="3" t="s">
        <v>109</v>
      </c>
      <c r="K24" s="3" t="s">
        <v>110</v>
      </c>
    </row>
    <row r="25" spans="1:11">
      <c r="A25" s="3">
        <v>24</v>
      </c>
      <c r="B25" s="3" t="s">
        <v>101</v>
      </c>
      <c r="C25" s="3" t="s">
        <v>81</v>
      </c>
      <c r="D25" s="3" t="s">
        <v>113</v>
      </c>
      <c r="E25" s="3" t="s">
        <v>114</v>
      </c>
      <c r="F25" s="3" t="s">
        <v>115</v>
      </c>
      <c r="G25" s="3" t="s">
        <v>108</v>
      </c>
      <c r="H25" s="3" t="s">
        <v>25</v>
      </c>
      <c r="I25" s="3" t="s">
        <v>57</v>
      </c>
      <c r="J25" s="3" t="s">
        <v>109</v>
      </c>
      <c r="K25" s="3" t="s">
        <v>110</v>
      </c>
    </row>
    <row r="26" spans="1:11">
      <c r="A26" s="3">
        <v>25</v>
      </c>
      <c r="B26" s="3" t="s">
        <v>101</v>
      </c>
      <c r="C26" s="3" t="s">
        <v>95</v>
      </c>
      <c r="D26" s="3" t="s">
        <v>116</v>
      </c>
      <c r="E26" s="3" t="s">
        <v>117</v>
      </c>
      <c r="F26" s="3" t="s">
        <v>115</v>
      </c>
      <c r="G26" s="3" t="s">
        <v>108</v>
      </c>
      <c r="H26" s="3" t="s">
        <v>25</v>
      </c>
      <c r="I26" s="3" t="s">
        <v>57</v>
      </c>
      <c r="J26" s="3" t="s">
        <v>109</v>
      </c>
      <c r="K26" s="3" t="s">
        <v>110</v>
      </c>
    </row>
  </sheetData>
  <autoFilter ref="A1:K26"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26"/>
  <sheetViews>
    <sheetView showGridLines="0" topLeftCell="R1" workbookViewId="0">
      <pane ySplit="1" topLeftCell="A2" activePane="bottomLeft" state="frozen"/>
      <selection pane="bottomLeft" activeCell="W2" sqref="W2"/>
    </sheetView>
  </sheetViews>
  <sheetFormatPr defaultColWidth="20" defaultRowHeight="14.45"/>
  <cols>
    <col min="1" max="1" width="20" style="1" customWidth="1"/>
    <col min="2" max="2" width="14" customWidth="1"/>
    <col min="3" max="4" width="16" customWidth="1"/>
    <col min="5" max="5" width="38" customWidth="1"/>
    <col min="6" max="6" width="18" customWidth="1"/>
    <col min="7" max="7" width="20" customWidth="1"/>
    <col min="8" max="8" width="18" customWidth="1"/>
    <col min="9" max="9" width="15" customWidth="1"/>
    <col min="10" max="12" width="12" customWidth="1"/>
    <col min="13" max="13" width="22" customWidth="1"/>
    <col min="14" max="14" width="30" customWidth="1"/>
    <col min="15" max="15" width="22" customWidth="1"/>
    <col min="16" max="16" width="42" customWidth="1"/>
    <col min="17" max="18" width="40" customWidth="1"/>
    <col min="19" max="19" width="25" customWidth="1"/>
    <col min="20" max="20" width="20" customWidth="1"/>
    <col min="21" max="21" width="12" customWidth="1"/>
    <col min="22" max="22" width="18" customWidth="1"/>
    <col min="23" max="23" width="30" customWidth="1"/>
    <col min="24" max="24" width="65" customWidth="1"/>
    <col min="25" max="25" width="22" customWidth="1"/>
    <col min="26" max="26" width="65" customWidth="1"/>
    <col min="27" max="16384" width="20" style="1"/>
  </cols>
  <sheetData>
    <row r="1" spans="1:26" ht="36" customHeight="1">
      <c r="A1" s="15" t="s">
        <v>34</v>
      </c>
      <c r="B1" s="15" t="s">
        <v>35</v>
      </c>
      <c r="C1" s="15" t="s">
        <v>118</v>
      </c>
      <c r="D1" s="15" t="s">
        <v>119</v>
      </c>
      <c r="E1" s="15" t="s">
        <v>36</v>
      </c>
      <c r="F1" s="15" t="s">
        <v>39</v>
      </c>
      <c r="G1" s="15" t="s">
        <v>120</v>
      </c>
      <c r="H1" s="15" t="s">
        <v>121</v>
      </c>
      <c r="I1" s="15" t="s">
        <v>122</v>
      </c>
      <c r="J1" s="15" t="s">
        <v>3</v>
      </c>
      <c r="K1" s="15" t="s">
        <v>37</v>
      </c>
      <c r="L1" s="15" t="s">
        <v>38</v>
      </c>
      <c r="M1" s="15" t="s">
        <v>123</v>
      </c>
      <c r="N1" s="15" t="s">
        <v>124</v>
      </c>
      <c r="O1" s="15" t="s">
        <v>125</v>
      </c>
      <c r="P1" s="15" t="s">
        <v>126</v>
      </c>
      <c r="Q1" s="15" t="s">
        <v>127</v>
      </c>
      <c r="R1" s="15" t="s">
        <v>128</v>
      </c>
      <c r="S1" s="15" t="s">
        <v>129</v>
      </c>
      <c r="T1" s="15" t="s">
        <v>130</v>
      </c>
      <c r="U1" s="15" t="s">
        <v>131</v>
      </c>
      <c r="V1" s="15" t="s">
        <v>132</v>
      </c>
      <c r="W1" s="15" t="s">
        <v>7</v>
      </c>
      <c r="X1" s="15" t="s">
        <v>41</v>
      </c>
      <c r="Y1" s="15" t="s">
        <v>40</v>
      </c>
      <c r="Z1" s="15" t="s">
        <v>42</v>
      </c>
    </row>
    <row r="2" spans="1:26" ht="43.5" customHeight="1">
      <c r="A2" s="3" t="s">
        <v>43</v>
      </c>
      <c r="B2" s="3" t="s">
        <v>44</v>
      </c>
      <c r="C2" s="3" t="s">
        <v>133</v>
      </c>
      <c r="D2" s="3" t="s">
        <v>133</v>
      </c>
      <c r="E2" s="3" t="s">
        <v>45</v>
      </c>
      <c r="F2" s="3" t="s">
        <v>48</v>
      </c>
      <c r="G2" s="3" t="s">
        <v>134</v>
      </c>
      <c r="H2" s="3" t="s">
        <v>133</v>
      </c>
      <c r="I2" s="3" t="s">
        <v>133</v>
      </c>
      <c r="J2" s="3" t="s">
        <v>4</v>
      </c>
      <c r="K2" s="3" t="s">
        <v>46</v>
      </c>
      <c r="L2" s="3" t="s">
        <v>47</v>
      </c>
      <c r="M2" s="3" t="s">
        <v>47</v>
      </c>
      <c r="N2" s="3" t="s">
        <v>135</v>
      </c>
      <c r="O2" s="3" t="s">
        <v>133</v>
      </c>
      <c r="P2" s="3" t="s">
        <v>136</v>
      </c>
      <c r="Q2" s="3" t="s">
        <v>137</v>
      </c>
      <c r="R2" s="3" t="s">
        <v>46</v>
      </c>
      <c r="S2" s="3" t="s">
        <v>133</v>
      </c>
      <c r="T2" s="3" t="s">
        <v>133</v>
      </c>
      <c r="U2" s="3" t="s">
        <v>138</v>
      </c>
      <c r="V2" s="3" t="s">
        <v>47</v>
      </c>
      <c r="W2" s="7" t="s">
        <v>11</v>
      </c>
      <c r="X2" s="3" t="s">
        <v>49</v>
      </c>
      <c r="Y2" s="3" t="s">
        <v>47</v>
      </c>
      <c r="Z2" s="3" t="s">
        <v>50</v>
      </c>
    </row>
    <row r="3" spans="1:26" ht="29.1" customHeight="1">
      <c r="A3" s="3" t="s">
        <v>43</v>
      </c>
      <c r="B3" s="3" t="s">
        <v>51</v>
      </c>
      <c r="C3" s="3" t="s">
        <v>133</v>
      </c>
      <c r="D3" s="3" t="s">
        <v>133</v>
      </c>
      <c r="E3" s="3" t="s">
        <v>52</v>
      </c>
      <c r="F3" s="3" t="s">
        <v>48</v>
      </c>
      <c r="G3" s="3" t="s">
        <v>139</v>
      </c>
      <c r="H3" s="3" t="s">
        <v>133</v>
      </c>
      <c r="I3" s="3" t="s">
        <v>133</v>
      </c>
      <c r="J3" s="3" t="s">
        <v>4</v>
      </c>
      <c r="K3" s="3" t="s">
        <v>53</v>
      </c>
      <c r="L3" s="3" t="s">
        <v>47</v>
      </c>
      <c r="M3" s="3" t="s">
        <v>47</v>
      </c>
      <c r="N3" s="3" t="s">
        <v>135</v>
      </c>
      <c r="O3" s="3" t="s">
        <v>133</v>
      </c>
      <c r="P3" s="3" t="s">
        <v>140</v>
      </c>
      <c r="Q3" s="3" t="s">
        <v>141</v>
      </c>
      <c r="R3" s="3" t="s">
        <v>53</v>
      </c>
      <c r="S3" s="3" t="s">
        <v>133</v>
      </c>
      <c r="T3" s="3" t="s">
        <v>133</v>
      </c>
      <c r="U3" s="3" t="s">
        <v>138</v>
      </c>
      <c r="V3" s="3" t="s">
        <v>47</v>
      </c>
      <c r="W3" s="7" t="s">
        <v>11</v>
      </c>
      <c r="X3" s="3" t="s">
        <v>49</v>
      </c>
      <c r="Y3" s="3" t="s">
        <v>47</v>
      </c>
      <c r="Z3" s="3" t="s">
        <v>50</v>
      </c>
    </row>
    <row r="4" spans="1:26" ht="29.1" customHeight="1">
      <c r="A4" s="3" t="s">
        <v>43</v>
      </c>
      <c r="B4" s="3" t="s">
        <v>54</v>
      </c>
      <c r="C4" s="3" t="s">
        <v>133</v>
      </c>
      <c r="D4" s="3" t="s">
        <v>133</v>
      </c>
      <c r="E4" s="3" t="s">
        <v>55</v>
      </c>
      <c r="F4" s="3" t="s">
        <v>58</v>
      </c>
      <c r="G4" s="3" t="s">
        <v>142</v>
      </c>
      <c r="H4" s="3" t="s">
        <v>133</v>
      </c>
      <c r="I4" s="3" t="s">
        <v>133</v>
      </c>
      <c r="J4" s="3" t="s">
        <v>4</v>
      </c>
      <c r="K4" s="3" t="s">
        <v>56</v>
      </c>
      <c r="L4" s="3" t="s">
        <v>57</v>
      </c>
      <c r="M4" s="3" t="s">
        <v>57</v>
      </c>
      <c r="N4" s="3" t="s">
        <v>135</v>
      </c>
      <c r="O4" s="3" t="s">
        <v>133</v>
      </c>
      <c r="P4" s="3" t="s">
        <v>143</v>
      </c>
      <c r="Q4" s="3" t="s">
        <v>144</v>
      </c>
      <c r="R4" s="3" t="s">
        <v>56</v>
      </c>
      <c r="S4" s="3" t="s">
        <v>133</v>
      </c>
      <c r="T4" s="3" t="s">
        <v>133</v>
      </c>
      <c r="U4" s="3" t="s">
        <v>138</v>
      </c>
      <c r="V4" s="3" t="s">
        <v>47</v>
      </c>
      <c r="W4" s="7" t="s">
        <v>11</v>
      </c>
      <c r="X4" s="3" t="s">
        <v>49</v>
      </c>
      <c r="Y4" s="3" t="s">
        <v>47</v>
      </c>
      <c r="Z4" s="3" t="s">
        <v>50</v>
      </c>
    </row>
    <row r="5" spans="1:26" ht="29.1" customHeight="1">
      <c r="A5" s="3" t="s">
        <v>43</v>
      </c>
      <c r="B5" s="3" t="s">
        <v>59</v>
      </c>
      <c r="C5" s="3" t="s">
        <v>133</v>
      </c>
      <c r="D5" s="3" t="s">
        <v>133</v>
      </c>
      <c r="E5" s="3" t="s">
        <v>60</v>
      </c>
      <c r="F5" s="3" t="s">
        <v>61</v>
      </c>
      <c r="G5" s="3" t="s">
        <v>145</v>
      </c>
      <c r="H5" s="3" t="s">
        <v>133</v>
      </c>
      <c r="I5" s="3" t="s">
        <v>133</v>
      </c>
      <c r="J5" s="3" t="s">
        <v>4</v>
      </c>
      <c r="K5" s="3" t="s">
        <v>60</v>
      </c>
      <c r="L5" s="3" t="s">
        <v>47</v>
      </c>
      <c r="M5" s="3" t="s">
        <v>47</v>
      </c>
      <c r="N5" s="3" t="s">
        <v>135</v>
      </c>
      <c r="O5" s="3" t="s">
        <v>133</v>
      </c>
      <c r="P5" s="3" t="s">
        <v>146</v>
      </c>
      <c r="Q5" s="3" t="s">
        <v>147</v>
      </c>
      <c r="R5" s="3" t="s">
        <v>60</v>
      </c>
      <c r="S5" s="3" t="s">
        <v>133</v>
      </c>
      <c r="T5" s="3" t="s">
        <v>133</v>
      </c>
      <c r="U5" s="3" t="s">
        <v>138</v>
      </c>
      <c r="V5" s="3" t="s">
        <v>47</v>
      </c>
      <c r="W5" s="8" t="s">
        <v>23</v>
      </c>
      <c r="X5" s="3" t="s">
        <v>62</v>
      </c>
      <c r="Y5" s="3" t="s">
        <v>57</v>
      </c>
      <c r="Z5" s="3" t="s">
        <v>63</v>
      </c>
    </row>
    <row r="6" spans="1:26" ht="29.1" customHeight="1">
      <c r="A6" s="3" t="s">
        <v>64</v>
      </c>
      <c r="B6" s="3" t="s">
        <v>65</v>
      </c>
      <c r="C6" s="3" t="s">
        <v>133</v>
      </c>
      <c r="D6" s="3" t="s">
        <v>133</v>
      </c>
      <c r="E6" s="3" t="s">
        <v>66</v>
      </c>
      <c r="F6" s="3" t="s">
        <v>68</v>
      </c>
      <c r="G6" s="3" t="s">
        <v>148</v>
      </c>
      <c r="H6" s="3" t="s">
        <v>133</v>
      </c>
      <c r="I6" s="3" t="s">
        <v>133</v>
      </c>
      <c r="J6" s="3" t="s">
        <v>4</v>
      </c>
      <c r="K6" s="3" t="s">
        <v>67</v>
      </c>
      <c r="L6" s="3" t="s">
        <v>57</v>
      </c>
      <c r="M6" s="3" t="s">
        <v>57</v>
      </c>
      <c r="N6" s="3" t="s">
        <v>135</v>
      </c>
      <c r="O6" s="3" t="s">
        <v>133</v>
      </c>
      <c r="P6" s="3" t="s">
        <v>149</v>
      </c>
      <c r="Q6" s="3" t="s">
        <v>150</v>
      </c>
      <c r="R6" s="3" t="s">
        <v>67</v>
      </c>
      <c r="S6" s="3" t="s">
        <v>133</v>
      </c>
      <c r="T6" s="3" t="s">
        <v>133</v>
      </c>
      <c r="U6" s="3" t="s">
        <v>138</v>
      </c>
      <c r="V6" s="3" t="s">
        <v>47</v>
      </c>
      <c r="W6" s="8" t="s">
        <v>23</v>
      </c>
      <c r="X6" s="3" t="s">
        <v>69</v>
      </c>
      <c r="Y6" s="3" t="s">
        <v>57</v>
      </c>
      <c r="Z6" s="3" t="s">
        <v>70</v>
      </c>
    </row>
    <row r="7" spans="1:26" ht="43.5" customHeight="1">
      <c r="A7" s="3" t="s">
        <v>71</v>
      </c>
      <c r="B7" s="3" t="s">
        <v>44</v>
      </c>
      <c r="C7" s="3" t="s">
        <v>133</v>
      </c>
      <c r="D7" s="3" t="s">
        <v>133</v>
      </c>
      <c r="E7" s="3" t="s">
        <v>45</v>
      </c>
      <c r="F7" s="3" t="s">
        <v>48</v>
      </c>
      <c r="G7" s="3" t="s">
        <v>134</v>
      </c>
      <c r="H7" s="3" t="s">
        <v>133</v>
      </c>
      <c r="I7" s="3" t="s">
        <v>133</v>
      </c>
      <c r="J7" s="3" t="s">
        <v>4</v>
      </c>
      <c r="K7" s="3" t="s">
        <v>46</v>
      </c>
      <c r="L7" s="3" t="s">
        <v>47</v>
      </c>
      <c r="M7" s="3" t="s">
        <v>47</v>
      </c>
      <c r="N7" s="3" t="s">
        <v>135</v>
      </c>
      <c r="O7" s="3" t="s">
        <v>133</v>
      </c>
      <c r="P7" s="3" t="s">
        <v>136</v>
      </c>
      <c r="Q7" s="3" t="s">
        <v>137</v>
      </c>
      <c r="R7" s="3" t="s">
        <v>46</v>
      </c>
      <c r="S7" s="3" t="s">
        <v>133</v>
      </c>
      <c r="T7" s="3" t="s">
        <v>133</v>
      </c>
      <c r="U7" s="3" t="s">
        <v>138</v>
      </c>
      <c r="V7" s="3" t="s">
        <v>47</v>
      </c>
      <c r="W7" s="7" t="s">
        <v>11</v>
      </c>
      <c r="X7" s="3" t="s">
        <v>49</v>
      </c>
      <c r="Y7" s="3" t="s">
        <v>47</v>
      </c>
      <c r="Z7" s="3" t="s">
        <v>50</v>
      </c>
    </row>
    <row r="8" spans="1:26" ht="29.1" customHeight="1">
      <c r="A8" s="3" t="s">
        <v>71</v>
      </c>
      <c r="B8" s="3" t="s">
        <v>51</v>
      </c>
      <c r="C8" s="3" t="s">
        <v>133</v>
      </c>
      <c r="D8" s="3" t="s">
        <v>133</v>
      </c>
      <c r="E8" s="3" t="s">
        <v>52</v>
      </c>
      <c r="F8" s="3" t="s">
        <v>48</v>
      </c>
      <c r="G8" s="3" t="s">
        <v>139</v>
      </c>
      <c r="H8" s="3" t="s">
        <v>133</v>
      </c>
      <c r="I8" s="3" t="s">
        <v>133</v>
      </c>
      <c r="J8" s="3" t="s">
        <v>4</v>
      </c>
      <c r="K8" s="3" t="s">
        <v>53</v>
      </c>
      <c r="L8" s="3" t="s">
        <v>47</v>
      </c>
      <c r="M8" s="3" t="s">
        <v>47</v>
      </c>
      <c r="N8" s="3" t="s">
        <v>135</v>
      </c>
      <c r="O8" s="3" t="s">
        <v>133</v>
      </c>
      <c r="P8" s="3" t="s">
        <v>140</v>
      </c>
      <c r="Q8" s="3" t="s">
        <v>141</v>
      </c>
      <c r="R8" s="3" t="s">
        <v>53</v>
      </c>
      <c r="S8" s="3" t="s">
        <v>133</v>
      </c>
      <c r="T8" s="3" t="s">
        <v>133</v>
      </c>
      <c r="U8" s="3" t="s">
        <v>138</v>
      </c>
      <c r="V8" s="3" t="s">
        <v>47</v>
      </c>
      <c r="W8" s="7" t="s">
        <v>11</v>
      </c>
      <c r="X8" s="3" t="s">
        <v>49</v>
      </c>
      <c r="Y8" s="3" t="s">
        <v>47</v>
      </c>
      <c r="Z8" s="3" t="s">
        <v>50</v>
      </c>
    </row>
    <row r="9" spans="1:26" ht="29.1" customHeight="1">
      <c r="A9" s="3" t="s">
        <v>71</v>
      </c>
      <c r="B9" s="3" t="s">
        <v>54</v>
      </c>
      <c r="C9" s="3" t="s">
        <v>133</v>
      </c>
      <c r="D9" s="3" t="s">
        <v>133</v>
      </c>
      <c r="E9" s="3" t="s">
        <v>72</v>
      </c>
      <c r="F9" s="3" t="s">
        <v>48</v>
      </c>
      <c r="G9" s="3" t="s">
        <v>151</v>
      </c>
      <c r="H9" s="3" t="s">
        <v>133</v>
      </c>
      <c r="I9" s="3" t="s">
        <v>133</v>
      </c>
      <c r="J9" s="3" t="s">
        <v>4</v>
      </c>
      <c r="K9" s="3" t="s">
        <v>73</v>
      </c>
      <c r="L9" s="3" t="s">
        <v>57</v>
      </c>
      <c r="M9" s="3" t="s">
        <v>57</v>
      </c>
      <c r="N9" s="3" t="s">
        <v>135</v>
      </c>
      <c r="O9" s="3" t="s">
        <v>133</v>
      </c>
      <c r="P9" s="3" t="s">
        <v>152</v>
      </c>
      <c r="Q9" s="3" t="s">
        <v>153</v>
      </c>
      <c r="R9" s="3" t="s">
        <v>73</v>
      </c>
      <c r="S9" s="3" t="s">
        <v>133</v>
      </c>
      <c r="T9" s="3" t="s">
        <v>133</v>
      </c>
      <c r="U9" s="3" t="s">
        <v>138</v>
      </c>
      <c r="V9" s="3" t="s">
        <v>47</v>
      </c>
      <c r="W9" s="7" t="s">
        <v>11</v>
      </c>
      <c r="X9" s="3" t="s">
        <v>49</v>
      </c>
      <c r="Y9" s="3" t="s">
        <v>47</v>
      </c>
      <c r="Z9" s="3" t="s">
        <v>50</v>
      </c>
    </row>
    <row r="10" spans="1:26" ht="29.1" customHeight="1">
      <c r="A10" s="3" t="s">
        <v>71</v>
      </c>
      <c r="B10" s="3" t="s">
        <v>74</v>
      </c>
      <c r="C10" s="3" t="s">
        <v>133</v>
      </c>
      <c r="D10" s="3" t="s">
        <v>133</v>
      </c>
      <c r="E10" s="3" t="s">
        <v>75</v>
      </c>
      <c r="F10" s="3" t="s">
        <v>48</v>
      </c>
      <c r="G10" s="3" t="s">
        <v>154</v>
      </c>
      <c r="H10" s="3" t="s">
        <v>133</v>
      </c>
      <c r="I10" s="3" t="s">
        <v>133</v>
      </c>
      <c r="J10" s="3" t="s">
        <v>4</v>
      </c>
      <c r="K10" s="3" t="s">
        <v>76</v>
      </c>
      <c r="L10" s="3" t="s">
        <v>57</v>
      </c>
      <c r="M10" s="3" t="s">
        <v>57</v>
      </c>
      <c r="N10" s="3" t="s">
        <v>135</v>
      </c>
      <c r="O10" s="3" t="s">
        <v>133</v>
      </c>
      <c r="P10" s="3" t="s">
        <v>155</v>
      </c>
      <c r="Q10" s="3" t="s">
        <v>156</v>
      </c>
      <c r="R10" s="3" t="s">
        <v>76</v>
      </c>
      <c r="S10" s="3" t="s">
        <v>133</v>
      </c>
      <c r="T10" s="3" t="s">
        <v>133</v>
      </c>
      <c r="U10" s="3" t="s">
        <v>138</v>
      </c>
      <c r="V10" s="3" t="s">
        <v>47</v>
      </c>
      <c r="W10" s="7" t="s">
        <v>11</v>
      </c>
      <c r="X10" s="3" t="s">
        <v>49</v>
      </c>
      <c r="Y10" s="3" t="s">
        <v>47</v>
      </c>
      <c r="Z10" s="3" t="s">
        <v>50</v>
      </c>
    </row>
    <row r="11" spans="1:26" ht="29.1" customHeight="1">
      <c r="A11" s="3" t="s">
        <v>71</v>
      </c>
      <c r="B11" s="3" t="s">
        <v>77</v>
      </c>
      <c r="C11" s="3" t="s">
        <v>133</v>
      </c>
      <c r="D11" s="3" t="s">
        <v>133</v>
      </c>
      <c r="E11" s="3" t="s">
        <v>78</v>
      </c>
      <c r="F11" s="3" t="s">
        <v>80</v>
      </c>
      <c r="G11" s="3" t="s">
        <v>157</v>
      </c>
      <c r="H11" s="3" t="s">
        <v>133</v>
      </c>
      <c r="I11" s="3" t="s">
        <v>133</v>
      </c>
      <c r="J11" s="3" t="s">
        <v>4</v>
      </c>
      <c r="K11" s="3" t="s">
        <v>79</v>
      </c>
      <c r="L11" s="3" t="s">
        <v>57</v>
      </c>
      <c r="M11" s="3" t="s">
        <v>57</v>
      </c>
      <c r="N11" s="3" t="s">
        <v>135</v>
      </c>
      <c r="O11" s="3" t="s">
        <v>133</v>
      </c>
      <c r="P11" s="3" t="s">
        <v>158</v>
      </c>
      <c r="Q11" s="3" t="s">
        <v>159</v>
      </c>
      <c r="R11" s="3" t="s">
        <v>79</v>
      </c>
      <c r="S11" s="3" t="s">
        <v>133</v>
      </c>
      <c r="T11" s="3" t="s">
        <v>133</v>
      </c>
      <c r="U11" s="3" t="s">
        <v>138</v>
      </c>
      <c r="V11" s="3" t="s">
        <v>47</v>
      </c>
      <c r="W11" s="7" t="s">
        <v>11</v>
      </c>
      <c r="X11" s="3" t="s">
        <v>49</v>
      </c>
      <c r="Y11" s="3" t="s">
        <v>47</v>
      </c>
      <c r="Z11" s="3" t="s">
        <v>50</v>
      </c>
    </row>
    <row r="12" spans="1:26" ht="29.1" customHeight="1">
      <c r="A12" s="3" t="s">
        <v>71</v>
      </c>
      <c r="B12" s="3" t="s">
        <v>81</v>
      </c>
      <c r="C12" s="3" t="s">
        <v>133</v>
      </c>
      <c r="D12" s="3" t="s">
        <v>133</v>
      </c>
      <c r="E12" s="3" t="s">
        <v>82</v>
      </c>
      <c r="F12" s="3" t="s">
        <v>48</v>
      </c>
      <c r="G12" s="3" t="s">
        <v>160</v>
      </c>
      <c r="H12" s="3" t="s">
        <v>133</v>
      </c>
      <c r="I12" s="3" t="s">
        <v>133</v>
      </c>
      <c r="J12" s="3" t="s">
        <v>4</v>
      </c>
      <c r="K12" s="3" t="s">
        <v>83</v>
      </c>
      <c r="L12" s="3" t="s">
        <v>57</v>
      </c>
      <c r="M12" s="3" t="s">
        <v>57</v>
      </c>
      <c r="N12" s="3" t="s">
        <v>135</v>
      </c>
      <c r="O12" s="3" t="s">
        <v>133</v>
      </c>
      <c r="P12" s="3" t="s">
        <v>161</v>
      </c>
      <c r="Q12" s="3" t="s">
        <v>162</v>
      </c>
      <c r="R12" s="3" t="s">
        <v>83</v>
      </c>
      <c r="S12" s="3" t="s">
        <v>133</v>
      </c>
      <c r="T12" s="3" t="s">
        <v>133</v>
      </c>
      <c r="U12" s="3" t="s">
        <v>138</v>
      </c>
      <c r="V12" s="3" t="s">
        <v>47</v>
      </c>
      <c r="W12" s="7" t="s">
        <v>11</v>
      </c>
      <c r="X12" s="3" t="s">
        <v>49</v>
      </c>
      <c r="Y12" s="3" t="s">
        <v>47</v>
      </c>
      <c r="Z12" s="3" t="s">
        <v>50</v>
      </c>
    </row>
    <row r="13" spans="1:26" ht="29.1" customHeight="1">
      <c r="A13" s="3" t="s">
        <v>71</v>
      </c>
      <c r="B13" s="3" t="s">
        <v>84</v>
      </c>
      <c r="C13" s="3" t="s">
        <v>133</v>
      </c>
      <c r="D13" s="3" t="s">
        <v>133</v>
      </c>
      <c r="E13" s="3" t="s">
        <v>85</v>
      </c>
      <c r="F13" s="3" t="s">
        <v>80</v>
      </c>
      <c r="G13" s="3" t="s">
        <v>163</v>
      </c>
      <c r="H13" s="3" t="s">
        <v>133</v>
      </c>
      <c r="I13" s="3" t="s">
        <v>133</v>
      </c>
      <c r="J13" s="3" t="s">
        <v>4</v>
      </c>
      <c r="K13" s="3" t="s">
        <v>86</v>
      </c>
      <c r="L13" s="3" t="s">
        <v>57</v>
      </c>
      <c r="M13" s="3" t="s">
        <v>57</v>
      </c>
      <c r="N13" s="3" t="s">
        <v>135</v>
      </c>
      <c r="O13" s="3" t="s">
        <v>133</v>
      </c>
      <c r="P13" s="3" t="s">
        <v>164</v>
      </c>
      <c r="Q13" s="3" t="s">
        <v>165</v>
      </c>
      <c r="R13" s="3" t="s">
        <v>86</v>
      </c>
      <c r="S13" s="3" t="s">
        <v>133</v>
      </c>
      <c r="T13" s="3" t="s">
        <v>133</v>
      </c>
      <c r="U13" s="3" t="s">
        <v>138</v>
      </c>
      <c r="V13" s="3" t="s">
        <v>47</v>
      </c>
      <c r="W13" s="7" t="s">
        <v>11</v>
      </c>
      <c r="X13" s="3" t="s">
        <v>49</v>
      </c>
      <c r="Y13" s="3" t="s">
        <v>47</v>
      </c>
      <c r="Z13" s="3" t="s">
        <v>50</v>
      </c>
    </row>
    <row r="14" spans="1:26" ht="29.1" customHeight="1">
      <c r="A14" s="3" t="s">
        <v>71</v>
      </c>
      <c r="B14" s="3" t="s">
        <v>87</v>
      </c>
      <c r="C14" s="3" t="s">
        <v>133</v>
      </c>
      <c r="D14" s="3" t="s">
        <v>133</v>
      </c>
      <c r="E14" s="3" t="s">
        <v>88</v>
      </c>
      <c r="F14" s="3" t="s">
        <v>58</v>
      </c>
      <c r="G14" s="3" t="s">
        <v>166</v>
      </c>
      <c r="H14" s="3" t="s">
        <v>133</v>
      </c>
      <c r="I14" s="3" t="s">
        <v>133</v>
      </c>
      <c r="J14" s="3" t="s">
        <v>4</v>
      </c>
      <c r="K14" s="3" t="s">
        <v>89</v>
      </c>
      <c r="L14" s="3" t="s">
        <v>47</v>
      </c>
      <c r="M14" s="3" t="s">
        <v>57</v>
      </c>
      <c r="N14" s="3" t="s">
        <v>135</v>
      </c>
      <c r="O14" s="3" t="s">
        <v>133</v>
      </c>
      <c r="P14" s="3" t="s">
        <v>167</v>
      </c>
      <c r="Q14" s="3" t="s">
        <v>168</v>
      </c>
      <c r="R14" s="3" t="s">
        <v>89</v>
      </c>
      <c r="S14" s="3" t="s">
        <v>133</v>
      </c>
      <c r="T14" s="3" t="s">
        <v>133</v>
      </c>
      <c r="U14" s="3" t="s">
        <v>138</v>
      </c>
      <c r="V14" s="3" t="s">
        <v>47</v>
      </c>
      <c r="W14" s="7" t="s">
        <v>11</v>
      </c>
      <c r="X14" s="3" t="s">
        <v>49</v>
      </c>
      <c r="Y14" s="3" t="s">
        <v>47</v>
      </c>
      <c r="Z14" s="3" t="s">
        <v>50</v>
      </c>
    </row>
    <row r="15" spans="1:26" ht="29.1" customHeight="1">
      <c r="A15" s="3" t="s">
        <v>71</v>
      </c>
      <c r="B15" s="3" t="s">
        <v>90</v>
      </c>
      <c r="C15" s="3" t="s">
        <v>133</v>
      </c>
      <c r="D15" s="3" t="s">
        <v>133</v>
      </c>
      <c r="E15" s="3" t="s">
        <v>91</v>
      </c>
      <c r="F15" s="3" t="s">
        <v>58</v>
      </c>
      <c r="G15" s="3" t="s">
        <v>142</v>
      </c>
      <c r="H15" s="3" t="s">
        <v>133</v>
      </c>
      <c r="I15" s="3" t="s">
        <v>133</v>
      </c>
      <c r="J15" s="3" t="s">
        <v>4</v>
      </c>
      <c r="K15" s="3" t="s">
        <v>92</v>
      </c>
      <c r="L15" s="3" t="s">
        <v>57</v>
      </c>
      <c r="M15" s="3" t="s">
        <v>57</v>
      </c>
      <c r="N15" s="3" t="s">
        <v>135</v>
      </c>
      <c r="O15" s="3" t="s">
        <v>133</v>
      </c>
      <c r="P15" s="3" t="s">
        <v>169</v>
      </c>
      <c r="Q15" s="3" t="s">
        <v>144</v>
      </c>
      <c r="R15" s="3" t="s">
        <v>92</v>
      </c>
      <c r="S15" s="3" t="s">
        <v>133</v>
      </c>
      <c r="T15" s="3" t="s">
        <v>133</v>
      </c>
      <c r="U15" s="3" t="s">
        <v>138</v>
      </c>
      <c r="V15" s="3" t="s">
        <v>47</v>
      </c>
      <c r="W15" s="7" t="s">
        <v>11</v>
      </c>
      <c r="X15" s="3" t="s">
        <v>49</v>
      </c>
      <c r="Y15" s="3" t="s">
        <v>47</v>
      </c>
      <c r="Z15" s="3" t="s">
        <v>50</v>
      </c>
    </row>
    <row r="16" spans="1:26" ht="29.1" customHeight="1">
      <c r="A16" s="3" t="s">
        <v>71</v>
      </c>
      <c r="B16" s="3" t="s">
        <v>59</v>
      </c>
      <c r="C16" s="3" t="s">
        <v>133</v>
      </c>
      <c r="D16" s="3" t="s">
        <v>133</v>
      </c>
      <c r="E16" s="3" t="s">
        <v>93</v>
      </c>
      <c r="F16" s="3" t="s">
        <v>61</v>
      </c>
      <c r="G16" s="3" t="s">
        <v>170</v>
      </c>
      <c r="H16" s="3" t="s">
        <v>133</v>
      </c>
      <c r="I16" s="3" t="s">
        <v>133</v>
      </c>
      <c r="J16" s="3" t="s">
        <v>4</v>
      </c>
      <c r="K16" s="3" t="s">
        <v>94</v>
      </c>
      <c r="L16" s="3" t="s">
        <v>57</v>
      </c>
      <c r="M16" s="3" t="s">
        <v>57</v>
      </c>
      <c r="N16" s="3" t="s">
        <v>135</v>
      </c>
      <c r="O16" s="3" t="s">
        <v>133</v>
      </c>
      <c r="P16" s="3" t="s">
        <v>171</v>
      </c>
      <c r="Q16" s="3" t="s">
        <v>172</v>
      </c>
      <c r="R16" s="3" t="s">
        <v>94</v>
      </c>
      <c r="S16" s="3" t="s">
        <v>133</v>
      </c>
      <c r="T16" s="3" t="s">
        <v>133</v>
      </c>
      <c r="U16" s="3" t="s">
        <v>138</v>
      </c>
      <c r="V16" s="3" t="s">
        <v>47</v>
      </c>
      <c r="W16" s="7" t="s">
        <v>11</v>
      </c>
      <c r="X16" s="3" t="s">
        <v>49</v>
      </c>
      <c r="Y16" s="3" t="s">
        <v>47</v>
      </c>
      <c r="Z16" s="3" t="s">
        <v>50</v>
      </c>
    </row>
    <row r="17" spans="1:26" ht="29.1" customHeight="1">
      <c r="A17" s="3" t="s">
        <v>71</v>
      </c>
      <c r="B17" s="3" t="s">
        <v>95</v>
      </c>
      <c r="C17" s="3" t="s">
        <v>133</v>
      </c>
      <c r="D17" s="3" t="s">
        <v>133</v>
      </c>
      <c r="E17" s="3" t="s">
        <v>60</v>
      </c>
      <c r="F17" s="3" t="s">
        <v>61</v>
      </c>
      <c r="G17" s="3" t="s">
        <v>145</v>
      </c>
      <c r="H17" s="3" t="s">
        <v>133</v>
      </c>
      <c r="I17" s="3" t="s">
        <v>133</v>
      </c>
      <c r="J17" s="3" t="s">
        <v>4</v>
      </c>
      <c r="K17" s="3" t="s">
        <v>96</v>
      </c>
      <c r="L17" s="3" t="s">
        <v>47</v>
      </c>
      <c r="M17" s="3" t="s">
        <v>47</v>
      </c>
      <c r="N17" s="3" t="s">
        <v>135</v>
      </c>
      <c r="O17" s="3" t="s">
        <v>133</v>
      </c>
      <c r="P17" s="3" t="s">
        <v>173</v>
      </c>
      <c r="Q17" s="3" t="s">
        <v>147</v>
      </c>
      <c r="R17" s="3" t="s">
        <v>96</v>
      </c>
      <c r="S17" s="3" t="s">
        <v>133</v>
      </c>
      <c r="T17" s="3" t="s">
        <v>133</v>
      </c>
      <c r="U17" s="3" t="s">
        <v>138</v>
      </c>
      <c r="V17" s="3" t="s">
        <v>47</v>
      </c>
      <c r="W17" s="8" t="s">
        <v>23</v>
      </c>
      <c r="X17" s="3" t="s">
        <v>62</v>
      </c>
      <c r="Y17" s="3" t="s">
        <v>57</v>
      </c>
      <c r="Z17" s="3" t="s">
        <v>63</v>
      </c>
    </row>
    <row r="18" spans="1:26" ht="29.1" customHeight="1">
      <c r="A18" s="3" t="s">
        <v>71</v>
      </c>
      <c r="B18" s="3" t="s">
        <v>97</v>
      </c>
      <c r="C18" s="3" t="s">
        <v>133</v>
      </c>
      <c r="D18" s="3" t="s">
        <v>133</v>
      </c>
      <c r="E18" s="3" t="s">
        <v>98</v>
      </c>
      <c r="F18" s="3" t="s">
        <v>61</v>
      </c>
      <c r="G18" s="3" t="s">
        <v>174</v>
      </c>
      <c r="H18" s="3" t="s">
        <v>133</v>
      </c>
      <c r="I18" s="3" t="s">
        <v>133</v>
      </c>
      <c r="J18" s="3" t="s">
        <v>4</v>
      </c>
      <c r="K18" s="3" t="s">
        <v>99</v>
      </c>
      <c r="L18" s="3" t="s">
        <v>100</v>
      </c>
      <c r="M18" s="3" t="s">
        <v>57</v>
      </c>
      <c r="N18" s="3" t="s">
        <v>135</v>
      </c>
      <c r="O18" s="3" t="s">
        <v>133</v>
      </c>
      <c r="P18" s="3" t="s">
        <v>175</v>
      </c>
      <c r="Q18" s="3" t="s">
        <v>176</v>
      </c>
      <c r="R18" s="3" t="s">
        <v>99</v>
      </c>
      <c r="S18" s="3" t="s">
        <v>133</v>
      </c>
      <c r="T18" s="3" t="s">
        <v>133</v>
      </c>
      <c r="U18" s="3" t="s">
        <v>138</v>
      </c>
      <c r="V18" s="3" t="s">
        <v>47</v>
      </c>
      <c r="W18" s="7" t="s">
        <v>11</v>
      </c>
      <c r="X18" s="3" t="s">
        <v>49</v>
      </c>
      <c r="Y18" s="3" t="s">
        <v>47</v>
      </c>
      <c r="Z18" s="3" t="s">
        <v>50</v>
      </c>
    </row>
    <row r="19" spans="1:26" ht="29.1" customHeight="1">
      <c r="A19" s="3" t="s">
        <v>101</v>
      </c>
      <c r="B19" s="3" t="s">
        <v>44</v>
      </c>
      <c r="C19" s="3" t="s">
        <v>133</v>
      </c>
      <c r="D19" s="3" t="s">
        <v>133</v>
      </c>
      <c r="E19" s="3" t="s">
        <v>45</v>
      </c>
      <c r="F19" s="3" t="s">
        <v>48</v>
      </c>
      <c r="G19" s="3" t="s">
        <v>134</v>
      </c>
      <c r="H19" s="3" t="s">
        <v>133</v>
      </c>
      <c r="I19" s="3" t="s">
        <v>133</v>
      </c>
      <c r="J19" s="3" t="s">
        <v>4</v>
      </c>
      <c r="K19" s="3" t="s">
        <v>102</v>
      </c>
      <c r="L19" s="3" t="s">
        <v>47</v>
      </c>
      <c r="M19" s="3" t="s">
        <v>47</v>
      </c>
      <c r="N19" s="3" t="s">
        <v>135</v>
      </c>
      <c r="O19" s="3" t="s">
        <v>133</v>
      </c>
      <c r="P19" s="3" t="s">
        <v>177</v>
      </c>
      <c r="Q19" s="3" t="s">
        <v>178</v>
      </c>
      <c r="R19" s="3" t="s">
        <v>102</v>
      </c>
      <c r="S19" s="3" t="s">
        <v>133</v>
      </c>
      <c r="T19" s="3" t="s">
        <v>133</v>
      </c>
      <c r="U19" s="3" t="s">
        <v>138</v>
      </c>
      <c r="V19" s="3" t="s">
        <v>47</v>
      </c>
      <c r="W19" s="7" t="s">
        <v>11</v>
      </c>
      <c r="X19" s="3" t="s">
        <v>49</v>
      </c>
      <c r="Y19" s="3" t="s">
        <v>47</v>
      </c>
      <c r="Z19" s="3" t="s">
        <v>50</v>
      </c>
    </row>
    <row r="20" spans="1:26" ht="29.1" customHeight="1">
      <c r="A20" s="3" t="s">
        <v>101</v>
      </c>
      <c r="B20" s="3" t="s">
        <v>51</v>
      </c>
      <c r="C20" s="3" t="s">
        <v>133</v>
      </c>
      <c r="D20" s="3" t="s">
        <v>133</v>
      </c>
      <c r="E20" s="3" t="s">
        <v>52</v>
      </c>
      <c r="F20" s="3" t="s">
        <v>48</v>
      </c>
      <c r="G20" s="3" t="s">
        <v>139</v>
      </c>
      <c r="H20" s="3" t="s">
        <v>133</v>
      </c>
      <c r="I20" s="3" t="s">
        <v>133</v>
      </c>
      <c r="J20" s="3" t="s">
        <v>4</v>
      </c>
      <c r="K20" s="3" t="s">
        <v>103</v>
      </c>
      <c r="L20" s="3" t="s">
        <v>47</v>
      </c>
      <c r="M20" s="3" t="s">
        <v>47</v>
      </c>
      <c r="N20" s="3" t="s">
        <v>135</v>
      </c>
      <c r="O20" s="3" t="s">
        <v>133</v>
      </c>
      <c r="P20" s="3" t="s">
        <v>179</v>
      </c>
      <c r="Q20" s="3" t="s">
        <v>180</v>
      </c>
      <c r="R20" s="3" t="s">
        <v>103</v>
      </c>
      <c r="S20" s="3" t="s">
        <v>133</v>
      </c>
      <c r="T20" s="3" t="s">
        <v>133</v>
      </c>
      <c r="U20" s="3" t="s">
        <v>138</v>
      </c>
      <c r="V20" s="3" t="s">
        <v>47</v>
      </c>
      <c r="W20" s="7" t="s">
        <v>11</v>
      </c>
      <c r="X20" s="3" t="s">
        <v>49</v>
      </c>
      <c r="Y20" s="3" t="s">
        <v>47</v>
      </c>
      <c r="Z20" s="3" t="s">
        <v>50</v>
      </c>
    </row>
    <row r="21" spans="1:26" ht="29.1" customHeight="1">
      <c r="A21" s="3" t="s">
        <v>101</v>
      </c>
      <c r="B21" s="3" t="s">
        <v>54</v>
      </c>
      <c r="C21" s="3" t="s">
        <v>133</v>
      </c>
      <c r="D21" s="3" t="s">
        <v>133</v>
      </c>
      <c r="E21" s="3" t="s">
        <v>55</v>
      </c>
      <c r="F21" s="3" t="s">
        <v>58</v>
      </c>
      <c r="G21" s="3" t="s">
        <v>142</v>
      </c>
      <c r="H21" s="3" t="s">
        <v>133</v>
      </c>
      <c r="I21" s="3" t="s">
        <v>133</v>
      </c>
      <c r="J21" s="3" t="s">
        <v>4</v>
      </c>
      <c r="K21" s="3" t="s">
        <v>104</v>
      </c>
      <c r="L21" s="3" t="s">
        <v>57</v>
      </c>
      <c r="M21" s="3" t="s">
        <v>57</v>
      </c>
      <c r="N21" s="3" t="s">
        <v>135</v>
      </c>
      <c r="O21" s="3" t="s">
        <v>133</v>
      </c>
      <c r="P21" s="3" t="s">
        <v>181</v>
      </c>
      <c r="Q21" s="3" t="s">
        <v>182</v>
      </c>
      <c r="R21" s="3" t="s">
        <v>104</v>
      </c>
      <c r="S21" s="3" t="s">
        <v>133</v>
      </c>
      <c r="T21" s="3" t="s">
        <v>133</v>
      </c>
      <c r="U21" s="3" t="s">
        <v>138</v>
      </c>
      <c r="V21" s="3" t="s">
        <v>47</v>
      </c>
      <c r="W21" s="7" t="s">
        <v>11</v>
      </c>
      <c r="X21" s="3" t="s">
        <v>49</v>
      </c>
      <c r="Y21" s="3" t="s">
        <v>47</v>
      </c>
      <c r="Z21" s="3" t="s">
        <v>50</v>
      </c>
    </row>
    <row r="22" spans="1:26" ht="29.1" customHeight="1">
      <c r="A22" s="3" t="s">
        <v>101</v>
      </c>
      <c r="B22" s="3" t="s">
        <v>59</v>
      </c>
      <c r="C22" s="3" t="s">
        <v>133</v>
      </c>
      <c r="D22" s="3" t="s">
        <v>133</v>
      </c>
      <c r="E22" s="3" t="s">
        <v>60</v>
      </c>
      <c r="F22" s="3" t="s">
        <v>61</v>
      </c>
      <c r="G22" s="3" t="s">
        <v>145</v>
      </c>
      <c r="H22" s="3" t="s">
        <v>133</v>
      </c>
      <c r="I22" s="3" t="s">
        <v>133</v>
      </c>
      <c r="J22" s="3" t="s">
        <v>4</v>
      </c>
      <c r="K22" s="3" t="s">
        <v>105</v>
      </c>
      <c r="L22" s="3" t="s">
        <v>47</v>
      </c>
      <c r="M22" s="3" t="s">
        <v>47</v>
      </c>
      <c r="N22" s="3" t="s">
        <v>135</v>
      </c>
      <c r="O22" s="3" t="s">
        <v>133</v>
      </c>
      <c r="P22" s="3" t="s">
        <v>173</v>
      </c>
      <c r="Q22" s="3" t="s">
        <v>183</v>
      </c>
      <c r="R22" s="3" t="s">
        <v>105</v>
      </c>
      <c r="S22" s="3" t="s">
        <v>133</v>
      </c>
      <c r="T22" s="3" t="s">
        <v>133</v>
      </c>
      <c r="U22" s="3" t="s">
        <v>138</v>
      </c>
      <c r="V22" s="3" t="s">
        <v>47</v>
      </c>
      <c r="W22" s="8" t="s">
        <v>23</v>
      </c>
      <c r="X22" s="3" t="s">
        <v>62</v>
      </c>
      <c r="Y22" s="3" t="s">
        <v>57</v>
      </c>
      <c r="Z22" s="3" t="s">
        <v>63</v>
      </c>
    </row>
    <row r="23" spans="1:26" ht="29.1" customHeight="1">
      <c r="A23" s="3" t="s">
        <v>101</v>
      </c>
      <c r="B23" s="3" t="s">
        <v>74</v>
      </c>
      <c r="C23" s="3" t="s">
        <v>133</v>
      </c>
      <c r="D23" s="3" t="s">
        <v>133</v>
      </c>
      <c r="E23" s="3" t="s">
        <v>106</v>
      </c>
      <c r="F23" s="3" t="s">
        <v>108</v>
      </c>
      <c r="G23" s="3" t="s">
        <v>184</v>
      </c>
      <c r="H23" s="3" t="s">
        <v>133</v>
      </c>
      <c r="I23" s="3" t="s">
        <v>133</v>
      </c>
      <c r="J23" s="3" t="s">
        <v>4</v>
      </c>
      <c r="K23" s="3" t="s">
        <v>107</v>
      </c>
      <c r="L23" s="3" t="s">
        <v>47</v>
      </c>
      <c r="M23" s="3" t="s">
        <v>47</v>
      </c>
      <c r="N23" s="3" t="s">
        <v>135</v>
      </c>
      <c r="O23" s="3" t="s">
        <v>133</v>
      </c>
      <c r="P23" s="3" t="s">
        <v>185</v>
      </c>
      <c r="Q23" s="3" t="s">
        <v>186</v>
      </c>
      <c r="R23" s="3" t="s">
        <v>107</v>
      </c>
      <c r="S23" s="3" t="s">
        <v>133</v>
      </c>
      <c r="T23" s="3" t="s">
        <v>133</v>
      </c>
      <c r="U23" s="3" t="s">
        <v>138</v>
      </c>
      <c r="V23" s="3" t="s">
        <v>47</v>
      </c>
      <c r="W23" s="9" t="s">
        <v>25</v>
      </c>
      <c r="X23" s="3" t="s">
        <v>109</v>
      </c>
      <c r="Y23" s="3" t="s">
        <v>57</v>
      </c>
      <c r="Z23" s="3" t="s">
        <v>110</v>
      </c>
    </row>
    <row r="24" spans="1:26" ht="29.1" customHeight="1">
      <c r="A24" s="3" t="s">
        <v>101</v>
      </c>
      <c r="B24" s="3" t="s">
        <v>77</v>
      </c>
      <c r="C24" s="3" t="s">
        <v>133</v>
      </c>
      <c r="D24" s="3" t="s">
        <v>133</v>
      </c>
      <c r="E24" s="3" t="s">
        <v>111</v>
      </c>
      <c r="F24" s="3" t="s">
        <v>108</v>
      </c>
      <c r="G24" s="3" t="s">
        <v>58</v>
      </c>
      <c r="H24" s="3" t="s">
        <v>133</v>
      </c>
      <c r="I24" s="3" t="s">
        <v>133</v>
      </c>
      <c r="J24" s="3" t="s">
        <v>4</v>
      </c>
      <c r="K24" s="3" t="s">
        <v>112</v>
      </c>
      <c r="L24" s="3" t="s">
        <v>47</v>
      </c>
      <c r="M24" s="3" t="s">
        <v>47</v>
      </c>
      <c r="N24" s="3" t="s">
        <v>135</v>
      </c>
      <c r="O24" s="3" t="s">
        <v>133</v>
      </c>
      <c r="P24" s="3" t="s">
        <v>187</v>
      </c>
      <c r="Q24" s="3" t="s">
        <v>188</v>
      </c>
      <c r="R24" s="3" t="s">
        <v>112</v>
      </c>
      <c r="S24" s="3" t="s">
        <v>133</v>
      </c>
      <c r="T24" s="3" t="s">
        <v>133</v>
      </c>
      <c r="U24" s="3" t="s">
        <v>138</v>
      </c>
      <c r="V24" s="3" t="s">
        <v>47</v>
      </c>
      <c r="W24" s="9" t="s">
        <v>25</v>
      </c>
      <c r="X24" s="3" t="s">
        <v>109</v>
      </c>
      <c r="Y24" s="3" t="s">
        <v>57</v>
      </c>
      <c r="Z24" s="3" t="s">
        <v>110</v>
      </c>
    </row>
    <row r="25" spans="1:26" ht="29.1" customHeight="1">
      <c r="A25" s="3" t="s">
        <v>101</v>
      </c>
      <c r="B25" s="3" t="s">
        <v>81</v>
      </c>
      <c r="C25" s="3" t="s">
        <v>133</v>
      </c>
      <c r="D25" s="3" t="s">
        <v>133</v>
      </c>
      <c r="E25" s="3" t="s">
        <v>113</v>
      </c>
      <c r="F25" s="3" t="s">
        <v>108</v>
      </c>
      <c r="G25" s="3" t="s">
        <v>154</v>
      </c>
      <c r="H25" s="3" t="s">
        <v>133</v>
      </c>
      <c r="I25" s="3" t="s">
        <v>133</v>
      </c>
      <c r="J25" s="3" t="s">
        <v>4</v>
      </c>
      <c r="K25" s="3" t="s">
        <v>114</v>
      </c>
      <c r="L25" s="3" t="s">
        <v>115</v>
      </c>
      <c r="M25" s="3" t="s">
        <v>47</v>
      </c>
      <c r="N25" s="3" t="s">
        <v>135</v>
      </c>
      <c r="O25" s="3" t="s">
        <v>133</v>
      </c>
      <c r="P25" s="3" t="s">
        <v>189</v>
      </c>
      <c r="Q25" s="3" t="s">
        <v>190</v>
      </c>
      <c r="R25" s="3" t="s">
        <v>114</v>
      </c>
      <c r="S25" s="3" t="s">
        <v>133</v>
      </c>
      <c r="T25" s="3" t="s">
        <v>133</v>
      </c>
      <c r="U25" s="3" t="s">
        <v>138</v>
      </c>
      <c r="V25" s="3" t="s">
        <v>47</v>
      </c>
      <c r="W25" s="9" t="s">
        <v>25</v>
      </c>
      <c r="X25" s="3" t="s">
        <v>109</v>
      </c>
      <c r="Y25" s="3" t="s">
        <v>57</v>
      </c>
      <c r="Z25" s="3" t="s">
        <v>110</v>
      </c>
    </row>
    <row r="26" spans="1:26" ht="29.1" customHeight="1">
      <c r="A26" s="3" t="s">
        <v>101</v>
      </c>
      <c r="B26" s="3" t="s">
        <v>95</v>
      </c>
      <c r="C26" s="3" t="s">
        <v>133</v>
      </c>
      <c r="D26" s="3" t="s">
        <v>133</v>
      </c>
      <c r="E26" s="3" t="s">
        <v>116</v>
      </c>
      <c r="F26" s="3" t="s">
        <v>108</v>
      </c>
      <c r="G26" s="3" t="s">
        <v>191</v>
      </c>
      <c r="H26" s="3" t="s">
        <v>133</v>
      </c>
      <c r="I26" s="3" t="s">
        <v>133</v>
      </c>
      <c r="J26" s="3" t="s">
        <v>4</v>
      </c>
      <c r="K26" s="3" t="s">
        <v>117</v>
      </c>
      <c r="L26" s="3" t="s">
        <v>115</v>
      </c>
      <c r="M26" s="3" t="s">
        <v>47</v>
      </c>
      <c r="N26" s="3" t="s">
        <v>135</v>
      </c>
      <c r="O26" s="3" t="s">
        <v>133</v>
      </c>
      <c r="P26" s="3" t="s">
        <v>192</v>
      </c>
      <c r="Q26" s="3" t="s">
        <v>193</v>
      </c>
      <c r="R26" s="3" t="s">
        <v>117</v>
      </c>
      <c r="S26" s="3" t="s">
        <v>133</v>
      </c>
      <c r="T26" s="3" t="s">
        <v>133</v>
      </c>
      <c r="U26" s="3" t="s">
        <v>138</v>
      </c>
      <c r="V26" s="3" t="s">
        <v>47</v>
      </c>
      <c r="W26" s="9" t="s">
        <v>25</v>
      </c>
      <c r="X26" s="3" t="s">
        <v>109</v>
      </c>
      <c r="Y26" s="3" t="s">
        <v>57</v>
      </c>
      <c r="Z26" s="3" t="s">
        <v>110</v>
      </c>
    </row>
  </sheetData>
  <autoFilter ref="A1:Z26" xr:uid="{00000000-0009-0000-0000-000002000000}"/>
  <pageMargins left="0.75" right="0.75" top="1" bottom="1" header="0.5" footer="0.5"/>
</worksheet>
</file>

<file path=docMetadata/LabelInfo.xml><?xml version="1.0" encoding="utf-8"?>
<clbl:labelList xmlns:clbl="http://schemas.microsoft.com/office/2020/mipLabelMetadata">
  <clbl:label id="{e760c494-6550-44b4-8258-77c175d778b7}" enabled="1" method="Standard" siteId="{76a2ae5a-9f00-4f6b-95ed-5d33d77c4d61}"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Paliwal, Sarthak</dc:creator>
  <cp:keywords/>
  <dc:description/>
  <cp:lastModifiedBy>Paliwal, Sarthak</cp:lastModifiedBy>
  <cp:revision/>
  <dcterms:created xsi:type="dcterms:W3CDTF">2026-09-02T09:42:34Z</dcterms:created>
  <dcterms:modified xsi:type="dcterms:W3CDTF">2026-09-02T09:43:22Z</dcterms:modified>
  <cp:category/>
  <cp:contentStatus/>
</cp:coreProperties>
</file>